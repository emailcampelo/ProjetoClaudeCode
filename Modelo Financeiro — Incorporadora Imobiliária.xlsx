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remissas" sheetId="1" state="visible" r:id="rId1"/>
    <sheet xmlns:r="http://schemas.openxmlformats.org/officeDocument/2006/relationships" name="2. Fluxo de Caixa" sheetId="2" state="visible" r:id="rId2"/>
    <sheet xmlns:r="http://schemas.openxmlformats.org/officeDocument/2006/relationships" name="3. Sensibilidade" sheetId="3" state="visible" r:id="rId3"/>
    <sheet xmlns:r="http://schemas.openxmlformats.org/officeDocument/2006/relationships" name="4. Análise de Terrenos" sheetId="4" state="visible" r:id="rId4"/>
    <sheet xmlns:r="http://schemas.openxmlformats.org/officeDocument/2006/relationships" name="5. KPIs e Me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;(R$ #,##0);&quot;-&quot;"/>
    <numFmt numFmtId="165" formatCode="#,##0;(#,##0);&quot;-&quot;"/>
    <numFmt numFmtId="166" formatCode="0.0%;(0.0%);&quot;-&quot;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3864"/>
      <sz val="11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06060"/>
      <sz val="9"/>
    </font>
    <font>
      <name val="Arial"/>
      <b val="1"/>
      <color rgb="00000000"/>
      <sz val="10"/>
    </font>
    <font>
      <name val="Arial"/>
      <color rgb="00000000"/>
      <sz val="9"/>
    </font>
    <font>
      <name val="Arial"/>
      <b val="1"/>
      <color rgb="00FFFFFF"/>
      <sz val="13"/>
    </font>
    <font>
      <name val="Arial"/>
      <color rgb="00000000"/>
      <sz val="11"/>
    </font>
    <font>
      <name val="Arial"/>
      <i val="1"/>
      <color rgb="00000000"/>
      <sz val="9"/>
    </font>
    <font>
      <name val="Arial"/>
      <color rgb="009C0006"/>
    </font>
    <font>
      <name val="Arial"/>
      <color rgb="009C6500"/>
    </font>
    <font>
      <name val="Arial"/>
      <b val="1"/>
      <color rgb="00276221"/>
    </font>
    <font>
      <name val="Arial"/>
      <b val="1"/>
      <color rgb="001F3864"/>
      <sz val="10"/>
    </font>
    <font>
      <name val="Arial"/>
      <i val="1"/>
      <color rgb="000000FF"/>
      <sz val="10"/>
    </font>
    <font>
      <name val="Arial"/>
      <b val="1"/>
      <color rgb="0027622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8F5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65" fontId="7" fillId="5" borderId="1" applyAlignment="1" pivotButton="0" quotePrefix="0" xfId="0">
      <alignment horizontal="right" vertical="center"/>
    </xf>
    <xf numFmtId="0" fontId="8" fillId="0" borderId="0" pivotButton="0" quotePrefix="0" xfId="0"/>
    <xf numFmtId="165" fontId="6" fillId="0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6" fontId="7" fillId="5" borderId="1" applyAlignment="1" pivotButton="0" quotePrefix="0" xfId="0">
      <alignment horizontal="right" vertical="center"/>
    </xf>
    <xf numFmtId="0" fontId="9" fillId="3" borderId="2" applyAlignment="1" pivotButton="0" quotePrefix="0" xfId="0">
      <alignment horizontal="left" vertical="center"/>
    </xf>
    <xf numFmtId="166" fontId="9" fillId="3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0" fontId="10" fillId="0" borderId="0" pivotButton="0" quotePrefix="0" xfId="0"/>
    <xf numFmtId="0" fontId="10" fillId="3" borderId="0" pivotButton="0" quotePrefix="0" xfId="0"/>
    <xf numFmtId="166" fontId="6" fillId="0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0" fontId="1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4" borderId="1" pivotButton="0" quotePrefix="0" xfId="0"/>
    <xf numFmtId="0" fontId="4" fillId="4" borderId="0" applyAlignment="1" pivotButton="0" quotePrefix="0" xfId="0">
      <alignment horizontal="center" vertical="center"/>
    </xf>
    <xf numFmtId="0" fontId="4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12" fillId="0" borderId="2" applyAlignment="1" pivotButton="0" quotePrefix="0" xfId="0">
      <alignment horizontal="left" vertical="center"/>
    </xf>
    <xf numFmtId="164" fontId="9" fillId="3" borderId="1" pivotButton="0" quotePrefix="0" xfId="0"/>
    <xf numFmtId="0" fontId="4" fillId="2" borderId="0" applyAlignment="1" pivotButton="0" quotePrefix="0" xfId="0">
      <alignment horizontal="left" vertical="center"/>
    </xf>
    <xf numFmtId="0" fontId="13" fillId="0" borderId="0" pivotButton="0" quotePrefix="0" xfId="0"/>
    <xf numFmtId="0" fontId="2" fillId="0" borderId="0" pivotButton="0" quotePrefix="0" xfId="0"/>
    <xf numFmtId="0" fontId="6" fillId="0" borderId="1" pivotButton="0" quotePrefix="0" xfId="0"/>
    <xf numFmtId="166" fontId="14" fillId="7" borderId="1" applyAlignment="1" pivotButton="0" quotePrefix="0" xfId="0">
      <alignment horizontal="center" vertical="center"/>
    </xf>
    <xf numFmtId="166" fontId="15" fillId="8" borderId="1" applyAlignment="1" pivotButton="0" quotePrefix="0" xfId="0">
      <alignment horizontal="center" vertical="center"/>
    </xf>
    <xf numFmtId="166" fontId="16" fillId="9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6" fillId="0" borderId="2" pivotButton="0" quotePrefix="0" xfId="0"/>
    <xf numFmtId="0" fontId="18" fillId="0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164" fontId="7" fillId="5" borderId="1" applyAlignment="1" pivotButton="0" quotePrefix="0" xfId="0">
      <alignment horizontal="left" vertical="center"/>
    </xf>
    <xf numFmtId="0" fontId="19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30" customWidth="1" min="3" max="3"/>
    <col width="50" customWidth="1" min="4" max="4"/>
  </cols>
  <sheetData>
    <row r="1" ht="36" customHeight="1">
      <c r="A1" s="1" t="inlineStr">
        <is>
          <t>MODELO DE VIABILIDADE — INCORPORADORA IMOBILIÁRIA</t>
        </is>
      </c>
    </row>
    <row r="2">
      <c r="A2" s="2" t="inlineStr">
        <is>
          <t>PREMISSAS DO EMPREENDIMENTO — Empreendimento Piloto (Ano 1)</t>
        </is>
      </c>
    </row>
    <row r="3">
      <c r="A3" s="3" t="inlineStr">
        <is>
          <t>Legenda: Azul = entrada manual | Preto = fórmula calculada</t>
        </is>
      </c>
      <c r="C3" s="4" t="inlineStr">
        <is>
          <t>Versão 1.0 — Março/2026</t>
        </is>
      </c>
    </row>
    <row r="5">
      <c r="A5" s="5" t="inlineStr">
        <is>
          <t>A — PRODUTO E MERCADO</t>
        </is>
      </c>
    </row>
    <row r="6">
      <c r="A6" s="6" t="inlineStr">
        <is>
          <t>Premissa</t>
        </is>
      </c>
      <c r="B6" s="6" t="inlineStr">
        <is>
          <t>Valor</t>
        </is>
      </c>
      <c r="C6" s="6" t="inlineStr">
        <is>
          <t>Observação</t>
        </is>
      </c>
    </row>
    <row r="7">
      <c r="A7" s="7" t="inlineStr">
        <is>
          <t>Número de unidades</t>
        </is>
      </c>
      <c r="B7" s="8" t="n">
        <v>16</v>
      </c>
      <c r="C7" s="9" t="inlineStr">
        <is>
          <t>Apartamentos ou casas no empreendimento</t>
        </is>
      </c>
    </row>
    <row r="8">
      <c r="A8" s="7" t="inlineStr">
        <is>
          <t>Área privativa média (m²)</t>
        </is>
      </c>
      <c r="B8" s="8" t="n">
        <v>65</v>
      </c>
      <c r="C8" s="9" t="inlineStr">
        <is>
          <t>m² por unidade — área util</t>
        </is>
      </c>
    </row>
    <row r="9">
      <c r="A9" s="7" t="inlineStr">
        <is>
          <t>Área total construída (m²)</t>
        </is>
      </c>
      <c r="B9" s="10">
        <f>B7*B8</f>
        <v/>
      </c>
      <c r="C9" s="9">
        <f>B8*B9</f>
        <v/>
      </c>
    </row>
    <row r="10">
      <c r="A10" s="7" t="inlineStr">
        <is>
          <t>Preço de venda por m² (R$)</t>
        </is>
      </c>
      <c r="B10" s="11" t="n">
        <v>5500</v>
      </c>
      <c r="C10" s="9" t="inlineStr">
        <is>
          <t>Benchmark: R$ 4.500–R$ 7.000 conforme padrão/local</t>
        </is>
      </c>
    </row>
    <row r="11">
      <c r="A11" s="7" t="inlineStr">
        <is>
          <t>VGV Total (R$)</t>
        </is>
      </c>
      <c r="B11" s="12">
        <f>B7*B8*B10</f>
        <v/>
      </c>
      <c r="C11" s="9">
        <f>B8*B9*B11</f>
        <v/>
      </c>
    </row>
    <row r="12">
      <c r="A12" s="7" t="inlineStr">
        <is>
          <t>Padrão do empreendimento</t>
        </is>
      </c>
      <c r="B12" s="13" t="inlineStr">
        <is>
          <t>Médio</t>
        </is>
      </c>
      <c r="C12" s="9" t="inlineStr">
        <is>
          <t>Simples / Médio / Alto</t>
        </is>
      </c>
    </row>
    <row r="14">
      <c r="A14" s="5" t="inlineStr">
        <is>
          <t>B — ESTRUTURA DE CUSTOS</t>
        </is>
      </c>
    </row>
    <row r="15">
      <c r="A15" s="6" t="inlineStr">
        <is>
          <t>Item de Custo</t>
        </is>
      </c>
      <c r="B15" s="6" t="inlineStr">
        <is>
          <t>% sobre VGV</t>
        </is>
      </c>
      <c r="C15" s="6" t="inlineStr">
        <is>
          <t>R$ Estimado</t>
        </is>
      </c>
    </row>
    <row r="16">
      <c r="A16" s="7" t="inlineStr">
        <is>
          <t>Terreno (compra ou permuta física)</t>
        </is>
      </c>
      <c r="B16" s="14" t="n">
        <v>0.18</v>
      </c>
      <c r="C16" s="12">
        <f>B16*B11</f>
        <v/>
      </c>
      <c r="D16" s="9" t="inlineStr">
        <is>
          <t>Benchmark: 15–22% do VGV</t>
        </is>
      </c>
    </row>
    <row r="17">
      <c r="A17" s="7" t="inlineStr">
        <is>
          <t>Custo de Construção (CUB + BDI)</t>
        </is>
      </c>
      <c r="B17" s="14" t="n">
        <v>0.45</v>
      </c>
      <c r="C17" s="12">
        <f>B17*B11</f>
        <v/>
      </c>
      <c r="D17" s="9" t="inlineStr">
        <is>
          <t>Benchmark: 40–55% do VGV</t>
        </is>
      </c>
    </row>
    <row r="18">
      <c r="A18" s="7" t="inlineStr">
        <is>
          <t>Projetos e Aprovações</t>
        </is>
      </c>
      <c r="B18" s="14" t="n">
        <v>0.03</v>
      </c>
      <c r="C18" s="12">
        <f>B18*B11</f>
        <v/>
      </c>
      <c r="D18" s="9" t="inlineStr">
        <is>
          <t>Arquitetura, Engenharia, Despachante, CRI</t>
        </is>
      </c>
    </row>
    <row r="19">
      <c r="A19" s="7" t="inlineStr">
        <is>
          <t>Marketing e Vendas (comissão + campanha)</t>
        </is>
      </c>
      <c r="B19" s="14" t="n">
        <v>0.06</v>
      </c>
      <c r="C19" s="12">
        <f>B19*B11</f>
        <v/>
      </c>
      <c r="D19" s="9" t="inlineStr">
        <is>
          <t>Comissão corretores: 4–6% VGV</t>
        </is>
      </c>
    </row>
    <row r="20">
      <c r="A20" s="7" t="inlineStr">
        <is>
          <t>Administração / Taxa de Incorporação</t>
        </is>
      </c>
      <c r="B20" s="14" t="n">
        <v>0.05</v>
      </c>
      <c r="C20" s="12">
        <f>B20*B11</f>
        <v/>
      </c>
      <c r="D20" s="9" t="inlineStr">
        <is>
          <t>Holding cobra 5–8% VGV como fee de gestão</t>
        </is>
      </c>
    </row>
    <row r="21">
      <c r="A21" s="7" t="inlineStr">
        <is>
          <t>Impostos RET (% sobre receita)</t>
        </is>
      </c>
      <c r="B21" s="14" t="n">
        <v>0.04</v>
      </c>
      <c r="C21" s="12">
        <f>B21*B11</f>
        <v/>
      </c>
      <c r="D21" s="9" t="inlineStr">
        <is>
          <t>RET: 4% sobre receita bruta com Patrimônio de Afetação</t>
        </is>
      </c>
    </row>
    <row r="22">
      <c r="A22" s="7" t="inlineStr">
        <is>
          <t>Contingência</t>
        </is>
      </c>
      <c r="B22" s="14" t="n">
        <v>0.03</v>
      </c>
      <c r="C22" s="12">
        <f>B22*B11</f>
        <v/>
      </c>
      <c r="D22" s="9" t="inlineStr">
        <is>
          <t>Reserva para imprevistos de obra e prazo</t>
        </is>
      </c>
    </row>
    <row r="23">
      <c r="A23" s="15" t="inlineStr">
        <is>
          <t>CUSTO TOTAL</t>
        </is>
      </c>
      <c r="B23" s="16">
        <f>SUM(B16:B22)</f>
        <v/>
      </c>
      <c r="C23" s="17">
        <f>SUM(C16:C22)</f>
        <v/>
      </c>
    </row>
    <row r="25">
      <c r="A25" s="5" t="inlineStr">
        <is>
          <t>C — RESULTADO E RETORNO</t>
        </is>
      </c>
    </row>
    <row r="26">
      <c r="A26" s="6" t="inlineStr">
        <is>
          <t>Indicador</t>
        </is>
      </c>
      <c r="B26" s="6" t="inlineStr">
        <is>
          <t>Valor</t>
        </is>
      </c>
      <c r="C26" s="6" t="inlineStr">
        <is>
          <t>Benchmark de Mercado</t>
        </is>
      </c>
    </row>
    <row r="27">
      <c r="A27" s="7" t="inlineStr">
        <is>
          <t>VGV Total</t>
        </is>
      </c>
      <c r="B27" s="12">
        <f>B11</f>
        <v/>
      </c>
      <c r="C27" s="18" t="inlineStr">
        <is>
          <t>100% do VGV</t>
        </is>
      </c>
    </row>
    <row r="28">
      <c r="A28" s="7" t="inlineStr">
        <is>
          <t>(-) Custo Total</t>
        </is>
      </c>
      <c r="B28" s="12">
        <f>C23</f>
        <v/>
      </c>
      <c r="C28" s="18" t="inlineStr">
        <is>
          <t>Soma de todos os custos acima</t>
        </is>
      </c>
    </row>
    <row r="29">
      <c r="A29" s="15" t="inlineStr">
        <is>
          <t>Lucro Bruto do Empreendimento</t>
        </is>
      </c>
      <c r="B29" s="17">
        <f>B27-B28</f>
        <v/>
      </c>
      <c r="C29" s="19" t="inlineStr">
        <is>
          <t>VGV - Custo Total</t>
        </is>
      </c>
    </row>
    <row r="30">
      <c r="A30" s="7" t="inlineStr">
        <is>
          <t>Margem Bruta sobre VGV</t>
        </is>
      </c>
      <c r="B30" s="20">
        <f>B29/B11</f>
        <v/>
      </c>
      <c r="C30" s="18" t="inlineStr">
        <is>
          <t>Benchmark saudável: ≥ 25%</t>
        </is>
      </c>
    </row>
    <row r="31">
      <c r="A31" s="7" t="inlineStr">
        <is>
          <t>Capital Próprio Estimado (entrada + gap)</t>
        </is>
      </c>
      <c r="B31" s="21" t="n">
        <v>800000</v>
      </c>
      <c r="C31" s="18" t="inlineStr">
        <is>
          <t>⚠ Ajuste conforme capital disponível real</t>
        </is>
      </c>
    </row>
    <row r="32">
      <c r="A32" s="7" t="inlineStr">
        <is>
          <t>ROE (Retorno sobre Capital Próprio)</t>
        </is>
      </c>
      <c r="B32" s="20">
        <f>B29/B31</f>
        <v/>
      </c>
      <c r="C32" s="18" t="inlineStr">
        <is>
          <t>Benchmark: ≥ 25% total do projeto</t>
        </is>
      </c>
    </row>
    <row r="33">
      <c r="A33" s="7" t="inlineStr">
        <is>
          <t>Prazo estimado do empreendimento (meses)</t>
        </is>
      </c>
      <c r="B33" s="8" t="n">
        <v>30</v>
      </c>
      <c r="C33" s="18" t="inlineStr">
        <is>
          <t>Da compra do terreno até última entrega</t>
        </is>
      </c>
    </row>
    <row r="34">
      <c r="A34" s="7" t="inlineStr">
        <is>
          <t>TIR Anualizada (estimativa simplificada)</t>
        </is>
      </c>
      <c r="B34" s="20">
        <f>((1+B31)^(12/B33))-1</f>
        <v/>
      </c>
      <c r="C34" s="18" t="inlineStr">
        <is>
          <t>Estimativa! Use fluxo de caixa para TIR real.</t>
        </is>
      </c>
    </row>
    <row r="36">
      <c r="A36" s="5" t="inlineStr">
        <is>
          <t>D — ESTRUTURA DE CAPTAÇÃO</t>
        </is>
      </c>
    </row>
    <row r="37">
      <c r="A37" s="6" t="inlineStr">
        <is>
          <t>Fonte de Recurso</t>
        </is>
      </c>
      <c r="B37" s="6" t="inlineStr">
        <is>
          <t>% do Custo Total</t>
        </is>
      </c>
      <c r="C37" s="6" t="inlineStr">
        <is>
          <t>R$ Estimado</t>
        </is>
      </c>
    </row>
    <row r="38">
      <c r="A38" s="7" t="inlineStr">
        <is>
          <t>Capital Próprio (sócios)</t>
        </is>
      </c>
      <c r="B38" s="14" t="n">
        <v>0.25</v>
      </c>
      <c r="C38" s="12">
        <f>B38*C23</f>
        <v/>
      </c>
      <c r="D38" s="9" t="inlineStr">
        <is>
          <t>Terreno + pré-obra + contrapartida CEF</t>
        </is>
      </c>
    </row>
    <row r="39">
      <c r="A39" s="7" t="inlineStr">
        <is>
          <t>Financiamento CEF (produção)</t>
        </is>
      </c>
      <c r="B39" s="14" t="n">
        <v>0.55</v>
      </c>
      <c r="C39" s="12">
        <f>B39*C23</f>
        <v/>
      </c>
      <c r="D39" s="9" t="inlineStr">
        <is>
          <t>Até 80% do custo de obra aprovado</t>
        </is>
      </c>
    </row>
    <row r="40">
      <c r="A40" s="7" t="inlineStr">
        <is>
          <t>Permuta / Consórcio</t>
        </is>
      </c>
      <c r="B40" s="14" t="n">
        <v>0.15</v>
      </c>
      <c r="C40" s="12">
        <f>B40*C23</f>
        <v/>
      </c>
      <c r="D40" s="9" t="inlineStr">
        <is>
          <t>Terreno via permuta ou crédito contemplado</t>
        </is>
      </c>
    </row>
    <row r="41">
      <c r="A41" s="7" t="inlineStr">
        <is>
          <t>Outros / Investidor externo</t>
        </is>
      </c>
      <c r="B41" s="14" t="n">
        <v>0.05</v>
      </c>
      <c r="C41" s="12">
        <f>B41*C23</f>
        <v/>
      </c>
      <c r="D41" s="9" t="inlineStr">
        <is>
          <t>Se necessário — via SPE ou contrato específico</t>
        </is>
      </c>
    </row>
    <row r="42">
      <c r="A42" s="15" t="inlineStr">
        <is>
          <t>TOTAL CAPTAÇÃO</t>
        </is>
      </c>
      <c r="B42" s="16">
        <f>SUM(B38:B41)</f>
        <v/>
      </c>
      <c r="C42" s="17">
        <f>SUM(C38:C41)</f>
        <v/>
      </c>
    </row>
  </sheetData>
  <mergeCells count="6">
    <mergeCell ref="A25:C25"/>
    <mergeCell ref="A36:C36"/>
    <mergeCell ref="A1:C1"/>
    <mergeCell ref="A5:C5"/>
    <mergeCell ref="A14:C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</cols>
  <sheetData>
    <row r="1" ht="36" customHeight="1">
      <c r="A1" s="22" t="inlineStr">
        <is>
          <t>FLUXO DE CAIXA SIMPLIFICADO — EMPREENDIMENTO PILOTO</t>
        </is>
      </c>
    </row>
    <row r="2">
      <c r="A2" s="23" t="inlineStr">
        <is>
          <t>Premissas dinâmicas: ajuste os % de vendas e custos mensais conforme cronograma real</t>
        </is>
      </c>
    </row>
    <row r="4">
      <c r="A4" s="24" t="inlineStr">
        <is>
          <t>Item</t>
        </is>
      </c>
      <c r="B4" s="25" t="inlineStr">
        <is>
          <t>Pré-obra</t>
        </is>
      </c>
      <c r="E4" s="25" t="inlineStr">
        <is>
          <t>Obra</t>
        </is>
      </c>
      <c r="K4" s="25" t="inlineStr">
        <is>
          <t>Entrega/Pós</t>
        </is>
      </c>
    </row>
    <row r="5">
      <c r="A5" s="26" t="inlineStr">
        <is>
          <t>Mês</t>
        </is>
      </c>
      <c r="B5" s="27" t="inlineStr">
        <is>
          <t>Mês 01</t>
        </is>
      </c>
      <c r="C5" s="27" t="inlineStr">
        <is>
          <t>Mês 02</t>
        </is>
      </c>
      <c r="D5" s="27" t="inlineStr">
        <is>
          <t>Mês 03</t>
        </is>
      </c>
      <c r="E5" s="27" t="inlineStr">
        <is>
          <t>Mês 04</t>
        </is>
      </c>
      <c r="F5" s="27" t="inlineStr">
        <is>
          <t>Mês 05</t>
        </is>
      </c>
      <c r="G5" s="27" t="inlineStr">
        <is>
          <t>Mês 06</t>
        </is>
      </c>
      <c r="H5" s="27" t="inlineStr">
        <is>
          <t>Mês 07</t>
        </is>
      </c>
      <c r="I5" s="27" t="inlineStr">
        <is>
          <t>Mês 08</t>
        </is>
      </c>
      <c r="J5" s="27" t="inlineStr">
        <is>
          <t>Mês 09</t>
        </is>
      </c>
      <c r="K5" s="27" t="inlineStr">
        <is>
          <t>Mês 10</t>
        </is>
      </c>
      <c r="L5" s="27" t="inlineStr">
        <is>
          <t>Mês 11</t>
        </is>
      </c>
      <c r="M5" s="27" t="inlineStr">
        <is>
          <t>Mês 12</t>
        </is>
      </c>
      <c r="N5" s="27" t="inlineStr">
        <is>
          <t>TOTAL</t>
        </is>
      </c>
    </row>
    <row r="6">
      <c r="A6" s="28" t="inlineStr">
        <is>
          <t>RECEITAS</t>
        </is>
      </c>
    </row>
    <row r="7">
      <c r="A7" s="7" t="inlineStr">
        <is>
          <t>Receita de Vendas (% VGV por mês)</t>
        </is>
      </c>
      <c r="B7" s="12">
        <f>0.0*'1. Premissas'!B11</f>
        <v/>
      </c>
      <c r="C7" s="12">
        <f>0.05*'1. Premissas'!B11</f>
        <v/>
      </c>
      <c r="D7" s="12">
        <f>0.1*'1. Premissas'!B11</f>
        <v/>
      </c>
      <c r="E7" s="12">
        <f>0.08*'1. Premissas'!B11</f>
        <v/>
      </c>
      <c r="F7" s="12">
        <f>0.08*'1. Premissas'!B11</f>
        <v/>
      </c>
      <c r="G7" s="12">
        <f>0.08*'1. Premissas'!B11</f>
        <v/>
      </c>
      <c r="H7" s="12">
        <f>0.08*'1. Premissas'!B11</f>
        <v/>
      </c>
      <c r="I7" s="12">
        <f>0.08*'1. Premissas'!B11</f>
        <v/>
      </c>
      <c r="J7" s="12">
        <f>0.07*'1. Premissas'!B11</f>
        <v/>
      </c>
      <c r="K7" s="12">
        <f>0.1*'1. Premissas'!B11</f>
        <v/>
      </c>
      <c r="L7" s="12">
        <f>0.1*'1. Premissas'!B11</f>
        <v/>
      </c>
      <c r="M7" s="12">
        <f>0.18*'1. Premissas'!B11</f>
        <v/>
      </c>
      <c r="N7" s="29">
        <f>SUM(B7:M7)</f>
        <v/>
      </c>
    </row>
    <row r="8">
      <c r="A8" s="30" t="inlineStr">
        <is>
          <t>Liberações Financiamento CEF</t>
        </is>
      </c>
      <c r="B8" s="12">
        <f>0.0*'1. Premissas'!C23</f>
        <v/>
      </c>
      <c r="C8" s="12">
        <f>0.0*'1. Premissas'!C23</f>
        <v/>
      </c>
      <c r="D8" s="12">
        <f>0.0*'1. Premissas'!C23</f>
        <v/>
      </c>
      <c r="E8" s="12">
        <f>0.12*'1. Premissas'!C23</f>
        <v/>
      </c>
      <c r="F8" s="12">
        <f>0.12*'1. Premissas'!C23</f>
        <v/>
      </c>
      <c r="G8" s="12">
        <f>0.12*'1. Premissas'!C23</f>
        <v/>
      </c>
      <c r="H8" s="12">
        <f>0.12*'1. Premissas'!C23</f>
        <v/>
      </c>
      <c r="I8" s="12">
        <f>0.1*'1. Premissas'!C23</f>
        <v/>
      </c>
      <c r="J8" s="12">
        <f>0.1*'1. Premissas'!C23</f>
        <v/>
      </c>
      <c r="K8" s="12">
        <f>0.1*'1. Premissas'!C23</f>
        <v/>
      </c>
      <c r="L8" s="12">
        <f>0.1*'1. Premissas'!C23</f>
        <v/>
      </c>
      <c r="M8" s="12">
        <f>0.12*'1. Premissas'!C23</f>
        <v/>
      </c>
      <c r="N8" s="29">
        <f>SUM(B8:M8)</f>
        <v/>
      </c>
    </row>
    <row r="9">
      <c r="A9" s="15" t="inlineStr">
        <is>
          <t>TOTAL ENTRADAS</t>
        </is>
      </c>
      <c r="B9" s="31">
        <f>B7+B8</f>
        <v/>
      </c>
      <c r="C9" s="31">
        <f>C7+C8</f>
        <v/>
      </c>
      <c r="D9" s="31">
        <f>D7+D8</f>
        <v/>
      </c>
      <c r="E9" s="31">
        <f>E7+E8</f>
        <v/>
      </c>
      <c r="F9" s="31">
        <f>F7+F8</f>
        <v/>
      </c>
      <c r="G9" s="31">
        <f>G7+G8</f>
        <v/>
      </c>
      <c r="H9" s="31">
        <f>H7+H8</f>
        <v/>
      </c>
      <c r="I9" s="31">
        <f>I7+I8</f>
        <v/>
      </c>
      <c r="J9" s="31">
        <f>J7+J8</f>
        <v/>
      </c>
      <c r="K9" s="31">
        <f>K7+K8</f>
        <v/>
      </c>
      <c r="L9" s="31">
        <f>L7+L8</f>
        <v/>
      </c>
      <c r="M9" s="31">
        <f>M7+M8</f>
        <v/>
      </c>
      <c r="N9" s="31">
        <f>SUM(B9:M9)</f>
        <v/>
      </c>
    </row>
    <row r="11">
      <c r="A11" s="28" t="inlineStr">
        <is>
          <t>SAÍDAS (CUSTOS)</t>
        </is>
      </c>
    </row>
    <row r="12">
      <c r="A12" s="7" t="inlineStr">
        <is>
          <t>Terreno / Permuta</t>
        </is>
      </c>
      <c r="B12" s="12">
        <f>0.8*'1. Premissas'!C23</f>
        <v/>
      </c>
      <c r="C12" s="12">
        <f>0.2*'1. Premissas'!C23</f>
        <v/>
      </c>
      <c r="D12" s="12">
        <f>0.0*'1. Premissas'!C23</f>
        <v/>
      </c>
      <c r="E12" s="12">
        <f>0.0*'1. Premissas'!C23</f>
        <v/>
      </c>
      <c r="F12" s="12">
        <f>0.0*'1. Premissas'!C23</f>
        <v/>
      </c>
      <c r="G12" s="12">
        <f>0.0*'1. Premissas'!C23</f>
        <v/>
      </c>
      <c r="H12" s="12">
        <f>0.0*'1. Premissas'!C23</f>
        <v/>
      </c>
      <c r="I12" s="12">
        <f>0.0*'1. Premissas'!C23</f>
        <v/>
      </c>
      <c r="J12" s="12">
        <f>0.0*'1. Premissas'!C23</f>
        <v/>
      </c>
      <c r="K12" s="12">
        <f>0.0*'1. Premissas'!C23</f>
        <v/>
      </c>
      <c r="L12" s="12">
        <f>0.0*'1. Premissas'!C23</f>
        <v/>
      </c>
      <c r="M12" s="12">
        <f>0.0*'1. Premissas'!C23</f>
        <v/>
      </c>
      <c r="N12" s="12">
        <f>SUM(B12:M12)</f>
        <v/>
      </c>
    </row>
    <row r="13">
      <c r="A13" s="7" t="inlineStr">
        <is>
          <t>Projetos e Aprovações</t>
        </is>
      </c>
      <c r="B13" s="12">
        <f>0.3*'1. Premissas'!C23</f>
        <v/>
      </c>
      <c r="C13" s="12">
        <f>0.3*'1. Premissas'!C23</f>
        <v/>
      </c>
      <c r="D13" s="12">
        <f>0.3*'1. Premissas'!C23</f>
        <v/>
      </c>
      <c r="E13" s="12">
        <f>0.1*'1. Premissas'!C23</f>
        <v/>
      </c>
      <c r="F13" s="12">
        <f>0.0*'1. Premissas'!C23</f>
        <v/>
      </c>
      <c r="G13" s="12">
        <f>0.0*'1. Premissas'!C23</f>
        <v/>
      </c>
      <c r="H13" s="12">
        <f>0.0*'1. Premissas'!C23</f>
        <v/>
      </c>
      <c r="I13" s="12">
        <f>0.0*'1. Premissas'!C23</f>
        <v/>
      </c>
      <c r="J13" s="12">
        <f>0.0*'1. Premissas'!C23</f>
        <v/>
      </c>
      <c r="K13" s="12">
        <f>0.0*'1. Premissas'!C23</f>
        <v/>
      </c>
      <c r="L13" s="12">
        <f>0.0*'1. Premissas'!C23</f>
        <v/>
      </c>
      <c r="M13" s="12">
        <f>0.0*'1. Premissas'!C23</f>
        <v/>
      </c>
      <c r="N13" s="12">
        <f>SUM(B13:M13)</f>
        <v/>
      </c>
    </row>
    <row r="14">
      <c r="A14" s="7" t="inlineStr">
        <is>
          <t>Custo de Obra (execução)</t>
        </is>
      </c>
      <c r="B14" s="12">
        <f>0.0*'1. Premissas'!C23</f>
        <v/>
      </c>
      <c r="C14" s="12">
        <f>0.0*'1. Premissas'!C23</f>
        <v/>
      </c>
      <c r="D14" s="12">
        <f>0.02*'1. Premissas'!C23</f>
        <v/>
      </c>
      <c r="E14" s="12">
        <f>0.1*'1. Premissas'!C23</f>
        <v/>
      </c>
      <c r="F14" s="12">
        <f>0.12*'1. Premissas'!C23</f>
        <v/>
      </c>
      <c r="G14" s="12">
        <f>0.14*'1. Premissas'!C23</f>
        <v/>
      </c>
      <c r="H14" s="12">
        <f>0.14*'1. Premissas'!C23</f>
        <v/>
      </c>
      <c r="I14" s="12">
        <f>0.14*'1. Premissas'!C23</f>
        <v/>
      </c>
      <c r="J14" s="12">
        <f>0.14*'1. Premissas'!C23</f>
        <v/>
      </c>
      <c r="K14" s="12">
        <f>0.12*'1. Premissas'!C23</f>
        <v/>
      </c>
      <c r="L14" s="12">
        <f>0.06*'1. Premissas'!C23</f>
        <v/>
      </c>
      <c r="M14" s="12">
        <f>0.02*'1. Premissas'!C23</f>
        <v/>
      </c>
      <c r="N14" s="12">
        <f>SUM(B14:M14)</f>
        <v/>
      </c>
    </row>
    <row r="15">
      <c r="A15" s="7" t="inlineStr">
        <is>
          <t>Marketing e Vendas</t>
        </is>
      </c>
      <c r="B15" s="12">
        <f>0.05*'1. Premissas'!C23</f>
        <v/>
      </c>
      <c r="C15" s="12">
        <f>0.1*'1. Premissas'!C23</f>
        <v/>
      </c>
      <c r="D15" s="12">
        <f>0.1*'1. Premissas'!C23</f>
        <v/>
      </c>
      <c r="E15" s="12">
        <f>0.1*'1. Premissas'!C23</f>
        <v/>
      </c>
      <c r="F15" s="12">
        <f>0.08*'1. Premissas'!C23</f>
        <v/>
      </c>
      <c r="G15" s="12">
        <f>0.08*'1. Premissas'!C23</f>
        <v/>
      </c>
      <c r="H15" s="12">
        <f>0.08*'1. Premissas'!C23</f>
        <v/>
      </c>
      <c r="I15" s="12">
        <f>0.08*'1. Premissas'!C23</f>
        <v/>
      </c>
      <c r="J15" s="12">
        <f>0.08*'1. Premissas'!C23</f>
        <v/>
      </c>
      <c r="K15" s="12">
        <f>0.08*'1. Premissas'!C23</f>
        <v/>
      </c>
      <c r="L15" s="12">
        <f>0.09*'1. Premissas'!C23</f>
        <v/>
      </c>
      <c r="M15" s="12">
        <f>0.08*'1. Premissas'!C23</f>
        <v/>
      </c>
      <c r="N15" s="12">
        <f>SUM(B15:M15)</f>
        <v/>
      </c>
    </row>
    <row r="16">
      <c r="A16" s="7" t="inlineStr">
        <is>
          <t>Impostos RET (4% s/ receita)</t>
        </is>
      </c>
      <c r="B16" s="12">
        <f>0.04*B7</f>
        <v/>
      </c>
      <c r="C16" s="12">
        <f>0.04*C7</f>
        <v/>
      </c>
      <c r="D16" s="12">
        <f>0.04*D7</f>
        <v/>
      </c>
      <c r="E16" s="12">
        <f>0.04*E7</f>
        <v/>
      </c>
      <c r="F16" s="12">
        <f>0.04*F7</f>
        <v/>
      </c>
      <c r="G16" s="12">
        <f>0.04*G7</f>
        <v/>
      </c>
      <c r="H16" s="12">
        <f>0.04*H7</f>
        <v/>
      </c>
      <c r="I16" s="12">
        <f>0.04*I7</f>
        <v/>
      </c>
      <c r="J16" s="12">
        <f>0.04*J7</f>
        <v/>
      </c>
      <c r="K16" s="12">
        <f>0.04*K7</f>
        <v/>
      </c>
      <c r="L16" s="12">
        <f>0.04*L7</f>
        <v/>
      </c>
      <c r="M16" s="12">
        <f>0.04*M7</f>
        <v/>
      </c>
      <c r="N16" s="12">
        <f>SUM(B16:M16)</f>
        <v/>
      </c>
    </row>
    <row r="17">
      <c r="A17" s="7" t="inlineStr">
        <is>
          <t>Despesas Administrativas / Fee Holding</t>
        </is>
      </c>
      <c r="B17" s="12">
        <f>0.08*'1. Premissas'!C23</f>
        <v/>
      </c>
      <c r="C17" s="12">
        <f>0.08*'1. Premissas'!C23</f>
        <v/>
      </c>
      <c r="D17" s="12">
        <f>0.08*'1. Premissas'!C23</f>
        <v/>
      </c>
      <c r="E17" s="12">
        <f>0.08*'1. Premissas'!C23</f>
        <v/>
      </c>
      <c r="F17" s="12">
        <f>0.08*'1. Premissas'!C23</f>
        <v/>
      </c>
      <c r="G17" s="12">
        <f>0.08*'1. Premissas'!C23</f>
        <v/>
      </c>
      <c r="H17" s="12">
        <f>0.08*'1. Premissas'!C23</f>
        <v/>
      </c>
      <c r="I17" s="12">
        <f>0.08*'1. Premissas'!C23</f>
        <v/>
      </c>
      <c r="J17" s="12">
        <f>0.08*'1. Premissas'!C23</f>
        <v/>
      </c>
      <c r="K17" s="12">
        <f>0.09*'1. Premissas'!C23</f>
        <v/>
      </c>
      <c r="L17" s="12">
        <f>0.09*'1. Premissas'!C23</f>
        <v/>
      </c>
      <c r="M17" s="12">
        <f>0.1*'1. Premissas'!C23</f>
        <v/>
      </c>
      <c r="N17" s="12">
        <f>SUM(B17:M17)</f>
        <v/>
      </c>
    </row>
    <row r="18">
      <c r="A18" s="15" t="inlineStr">
        <is>
          <t>TOTAL SAÍDAS</t>
        </is>
      </c>
      <c r="B18" s="31">
        <f>SUM(B12:B17)</f>
        <v/>
      </c>
      <c r="C18" s="31">
        <f>SUM(C12:C17)</f>
        <v/>
      </c>
      <c r="D18" s="31">
        <f>SUM(D12:D17)</f>
        <v/>
      </c>
      <c r="E18" s="31">
        <f>SUM(E12:E17)</f>
        <v/>
      </c>
      <c r="F18" s="31">
        <f>SUM(F12:F17)</f>
        <v/>
      </c>
      <c r="G18" s="31">
        <f>SUM(G12:G17)</f>
        <v/>
      </c>
      <c r="H18" s="31">
        <f>SUM(H12:H17)</f>
        <v/>
      </c>
      <c r="I18" s="31">
        <f>SUM(I12:I17)</f>
        <v/>
      </c>
      <c r="J18" s="31">
        <f>SUM(J12:J17)</f>
        <v/>
      </c>
      <c r="K18" s="31">
        <f>SUM(K12:K17)</f>
        <v/>
      </c>
      <c r="L18" s="31">
        <f>SUM(L12:L17)</f>
        <v/>
      </c>
      <c r="M18" s="31">
        <f>SUM(M12:M17)</f>
        <v/>
      </c>
      <c r="N18" s="31">
        <f>SUM(B18:M18)</f>
        <v/>
      </c>
    </row>
    <row r="20">
      <c r="A20" s="32" t="inlineStr">
        <is>
          <t>RESULTADO</t>
        </is>
      </c>
    </row>
    <row r="21">
      <c r="A21" s="15" t="inlineStr">
        <is>
          <t>Saldo Mensal (Entradas - Saídas)</t>
        </is>
      </c>
      <c r="B21" s="31">
        <f>B9-B18</f>
        <v/>
      </c>
      <c r="C21" s="31">
        <f>C9-C18</f>
        <v/>
      </c>
      <c r="D21" s="31">
        <f>D9-D18</f>
        <v/>
      </c>
      <c r="E21" s="31">
        <f>E9-E18</f>
        <v/>
      </c>
      <c r="F21" s="31">
        <f>F9-F18</f>
        <v/>
      </c>
      <c r="G21" s="31">
        <f>G9-G18</f>
        <v/>
      </c>
      <c r="H21" s="31">
        <f>H9-H18</f>
        <v/>
      </c>
      <c r="I21" s="31">
        <f>I9-I18</f>
        <v/>
      </c>
      <c r="J21" s="31">
        <f>J9-J18</f>
        <v/>
      </c>
      <c r="K21" s="31">
        <f>K9-K18</f>
        <v/>
      </c>
      <c r="L21" s="31">
        <f>L9-L18</f>
        <v/>
      </c>
      <c r="M21" s="31">
        <f>M9-M18</f>
        <v/>
      </c>
      <c r="N21" s="31">
        <f>SUM(B21:M21)</f>
        <v/>
      </c>
    </row>
    <row r="22">
      <c r="A22" s="7" t="inlineStr">
        <is>
          <t>Saldo Acumulado</t>
        </is>
      </c>
      <c r="B22" s="12">
        <f>B21</f>
        <v/>
      </c>
      <c r="C22" s="12">
        <f>B22+C21</f>
        <v/>
      </c>
      <c r="D22" s="12">
        <f>C22+D21</f>
        <v/>
      </c>
      <c r="E22" s="12">
        <f>D22+E21</f>
        <v/>
      </c>
      <c r="F22" s="12">
        <f>E22+F21</f>
        <v/>
      </c>
      <c r="G22" s="12">
        <f>F22+G21</f>
        <v/>
      </c>
      <c r="H22" s="12">
        <f>G22+H21</f>
        <v/>
      </c>
      <c r="I22" s="12">
        <f>H22+I21</f>
        <v/>
      </c>
      <c r="J22" s="12">
        <f>I22+J21</f>
        <v/>
      </c>
      <c r="K22" s="12">
        <f>J22+K21</f>
        <v/>
      </c>
      <c r="L22" s="12">
        <f>K22+L21</f>
        <v/>
      </c>
      <c r="M22" s="12">
        <f>L22+M21</f>
        <v/>
      </c>
      <c r="N22" s="33" t="inlineStr">
        <is>
          <t>Ver saldo acum. →</t>
        </is>
      </c>
    </row>
  </sheetData>
  <mergeCells count="8">
    <mergeCell ref="A6:N6"/>
    <mergeCell ref="A1:M1"/>
    <mergeCell ref="K4:M4"/>
    <mergeCell ref="A20:N20"/>
    <mergeCell ref="B4:D4"/>
    <mergeCell ref="A11:N11"/>
    <mergeCell ref="E4:J4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22" t="inlineStr">
        <is>
          <t>ANÁLISE DE SENSIBILIDADE — MARGEM vs. CUSTO DE OBRA e PREÇO/m²</t>
        </is>
      </c>
    </row>
    <row r="2">
      <c r="A2" s="3" t="inlineStr">
        <is>
          <t>Impacto na Margem Bruta conforme variação do Custo de Construção e Preço de Venda/m²</t>
        </is>
      </c>
    </row>
    <row r="4">
      <c r="A4" s="34" t="inlineStr">
        <is>
          <t>VARIAÇÃO DO CUSTO DE OBRA (% VGV)</t>
        </is>
      </c>
    </row>
    <row r="5">
      <c r="A5" s="6" t="inlineStr">
        <is>
          <t>Custo Obra % VGV ↓ / Preço/m² →</t>
        </is>
      </c>
      <c r="B5" s="6" t="inlineStr">
        <is>
          <t>Preço -19%</t>
        </is>
      </c>
      <c r="C5" s="6" t="inlineStr">
        <is>
          <t>Preço -9%</t>
        </is>
      </c>
      <c r="D5" s="6" t="inlineStr">
        <is>
          <t>Preço +0%</t>
        </is>
      </c>
      <c r="E5" s="6" t="inlineStr">
        <is>
          <t>Preço +10%</t>
        </is>
      </c>
      <c r="F5" s="6" t="inlineStr">
        <is>
          <t>Preço +19%</t>
        </is>
      </c>
    </row>
    <row r="6">
      <c r="A6" s="35" t="inlineStr">
        <is>
          <t>Obra = 40% VGV</t>
        </is>
      </c>
      <c r="B6" s="36" t="n">
        <v>0.112</v>
      </c>
      <c r="C6" s="36" t="n">
        <v>0.167</v>
      </c>
      <c r="D6" s="37" t="n">
        <v>0.21</v>
      </c>
      <c r="E6" s="37" t="n">
        <v>0.245</v>
      </c>
      <c r="F6" s="37" t="n">
        <v>0.275</v>
      </c>
    </row>
    <row r="7">
      <c r="A7" s="35" t="inlineStr">
        <is>
          <t>Obra = 45% VGV</t>
        </is>
      </c>
      <c r="B7" s="36" t="n">
        <v>0.063</v>
      </c>
      <c r="C7" s="36" t="n">
        <v>0.117</v>
      </c>
      <c r="D7" s="36" t="n">
        <v>0.16</v>
      </c>
      <c r="E7" s="36" t="n">
        <v>0.195</v>
      </c>
      <c r="F7" s="37" t="n">
        <v>0.225</v>
      </c>
    </row>
    <row r="8">
      <c r="A8" s="35" t="inlineStr">
        <is>
          <t>Obra = 50% VGV</t>
        </is>
      </c>
      <c r="B8" s="36" t="n">
        <v>0.013</v>
      </c>
      <c r="C8" s="36" t="n">
        <v>0.067</v>
      </c>
      <c r="D8" s="36" t="n">
        <v>0.11</v>
      </c>
      <c r="E8" s="36" t="n">
        <v>0.145</v>
      </c>
      <c r="F8" s="36" t="n">
        <v>0.175</v>
      </c>
    </row>
    <row r="9">
      <c r="A9" s="35" t="inlineStr">
        <is>
          <t>Obra = 55% VGV</t>
        </is>
      </c>
      <c r="B9" s="36" t="n">
        <v>-0.038</v>
      </c>
      <c r="C9" s="36" t="n">
        <v>0.017</v>
      </c>
      <c r="D9" s="36" t="n">
        <v>0.06</v>
      </c>
      <c r="E9" s="36" t="n">
        <v>0.095</v>
      </c>
      <c r="F9" s="36" t="n">
        <v>0.125</v>
      </c>
    </row>
    <row r="10">
      <c r="A10" s="35" t="inlineStr">
        <is>
          <t>Obra = 60% VGV</t>
        </is>
      </c>
      <c r="B10" s="36" t="n">
        <v>-0.08699999999999999</v>
      </c>
      <c r="C10" s="36" t="n">
        <v>-0.033</v>
      </c>
      <c r="D10" s="36" t="n">
        <v>0.01</v>
      </c>
      <c r="E10" s="36" t="n">
        <v>0.045</v>
      </c>
      <c r="F10" s="36" t="n">
        <v>0.075</v>
      </c>
    </row>
    <row r="12">
      <c r="A12" s="9" t="inlineStr">
        <is>
          <t>Verde ≥ 28% (meta) | Amarelo 20–28% (atenção) | Vermelho &lt; 20% (inviável)</t>
        </is>
      </c>
    </row>
    <row r="14">
      <c r="A14" s="5" t="inlineStr">
        <is>
          <t>ANÁLISE DE RETORNO — CAPITAL PRÓPRIO vs. PRAZO</t>
        </is>
      </c>
    </row>
    <row r="15">
      <c r="A15" s="6" t="inlineStr">
        <is>
          <t>Prazo do Projeto ↓ / Lucro Total →</t>
        </is>
      </c>
      <c r="B15" s="6" t="inlineStr">
        <is>
          <t>Lucro R$ 500k</t>
        </is>
      </c>
      <c r="C15" s="6" t="inlineStr">
        <is>
          <t>Lucro R$ 750k</t>
        </is>
      </c>
      <c r="D15" s="6" t="inlineStr">
        <is>
          <t>Lucro R$ 1000k</t>
        </is>
      </c>
      <c r="E15" s="6" t="inlineStr">
        <is>
          <t>Lucro R$ 1500k</t>
        </is>
      </c>
      <c r="F15" s="6" t="inlineStr">
        <is>
          <t>Lucro R$ 2000k</t>
        </is>
      </c>
    </row>
    <row r="16">
      <c r="A16" s="35" t="inlineStr">
        <is>
          <t>18 meses</t>
        </is>
      </c>
      <c r="B16" s="38" t="n">
        <v>0.382</v>
      </c>
      <c r="C16" s="38" t="n">
        <v>0.554</v>
      </c>
      <c r="D16" s="38" t="n">
        <v>0.717</v>
      </c>
      <c r="E16" s="38" t="n">
        <v>1.022</v>
      </c>
      <c r="F16" s="38" t="n">
        <v>1.305</v>
      </c>
    </row>
    <row r="17">
      <c r="A17" s="35" t="inlineStr">
        <is>
          <t>24 meses</t>
        </is>
      </c>
      <c r="B17" s="38" t="n">
        <v>0.275</v>
      </c>
      <c r="C17" s="38" t="n">
        <v>0.392</v>
      </c>
      <c r="D17" s="38" t="n">
        <v>0.5</v>
      </c>
      <c r="E17" s="38" t="n">
        <v>0.696</v>
      </c>
      <c r="F17" s="38" t="n">
        <v>0.871</v>
      </c>
    </row>
    <row r="18">
      <c r="A18" s="35" t="inlineStr">
        <is>
          <t>30 meses</t>
        </is>
      </c>
      <c r="B18" s="38" t="n">
        <v>0.214</v>
      </c>
      <c r="C18" s="38" t="n">
        <v>0.303</v>
      </c>
      <c r="D18" s="38" t="n">
        <v>0.383</v>
      </c>
      <c r="E18" s="38" t="n">
        <v>0.526</v>
      </c>
      <c r="F18" s="38" t="n">
        <v>0.651</v>
      </c>
    </row>
    <row r="19">
      <c r="A19" s="35" t="inlineStr">
        <is>
          <t>36 meses</t>
        </is>
      </c>
      <c r="B19" s="37" t="n">
        <v>0.176</v>
      </c>
      <c r="C19" s="38" t="n">
        <v>0.247</v>
      </c>
      <c r="D19" s="38" t="n">
        <v>0.31</v>
      </c>
      <c r="E19" s="38" t="n">
        <v>0.422</v>
      </c>
      <c r="F19" s="38" t="n">
        <v>0.518</v>
      </c>
    </row>
    <row r="20">
      <c r="A20" s="35" t="inlineStr">
        <is>
          <t>48 meses</t>
        </is>
      </c>
      <c r="B20" s="37" t="n">
        <v>0.129</v>
      </c>
      <c r="C20" s="37" t="n">
        <v>0.18</v>
      </c>
      <c r="D20" s="38" t="n">
        <v>0.225</v>
      </c>
      <c r="E20" s="38" t="n">
        <v>0.302</v>
      </c>
      <c r="F20" s="38" t="n">
        <v>0.368</v>
      </c>
    </row>
    <row r="22">
      <c r="A22" s="9" t="inlineStr">
        <is>
          <t>Capital próprio base: R$ 800k | Verde ≥ 18% a.a. | Amarelo 12–18% | Vermelho &lt; 12%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 ht="36" customHeight="1">
      <c r="A1" s="22" t="inlineStr">
        <is>
          <t>SCORECARD DE ANÁLISE DE TERRENOS</t>
        </is>
      </c>
    </row>
    <row r="2">
      <c r="A2" s="3" t="inlineStr">
        <is>
          <t>Compare até 3 terrenos simultaneamente. Azul = entrada manual.</t>
        </is>
      </c>
    </row>
    <row r="4">
      <c r="A4" s="6" t="inlineStr">
        <is>
          <t>Critério de Análise</t>
        </is>
      </c>
      <c r="B4" s="6" t="inlineStr">
        <is>
          <t>Terreno A</t>
        </is>
      </c>
      <c r="C4" s="6" t="inlineStr">
        <is>
          <t>Terreno B</t>
        </is>
      </c>
      <c r="D4" s="6" t="inlineStr">
        <is>
          <t>Terreno C</t>
        </is>
      </c>
      <c r="E4" s="6" t="inlineStr">
        <is>
          <t>Peso (%)</t>
        </is>
      </c>
      <c r="F4" s="6" t="inlineStr">
        <is>
          <t>Observação</t>
        </is>
      </c>
    </row>
    <row r="5">
      <c r="A5" s="7" t="inlineStr">
        <is>
          <t>Localização e acesso</t>
        </is>
      </c>
      <c r="B5" s="13" t="inlineStr">
        <is>
          <t>Nota 1–10</t>
        </is>
      </c>
      <c r="C5" s="13" t="inlineStr">
        <is>
          <t>Nota 1–10</t>
        </is>
      </c>
      <c r="D5" s="13" t="inlineStr">
        <is>
          <t>Nota 1–10</t>
        </is>
      </c>
      <c r="E5" s="39" t="inlineStr">
        <is>
          <t>20%</t>
        </is>
      </c>
      <c r="F5" s="9" t="inlineStr">
        <is>
          <t>Infraestrutura, transporte, valorização</t>
        </is>
      </c>
    </row>
    <row r="6">
      <c r="A6" s="7" t="inlineStr">
        <is>
          <t>Zoneamento / Aproveitamento</t>
        </is>
      </c>
      <c r="B6" s="13" t="inlineStr">
        <is>
          <t>Nota 1–10</t>
        </is>
      </c>
      <c r="C6" s="13" t="inlineStr">
        <is>
          <t>Nota 1–10</t>
        </is>
      </c>
      <c r="D6" s="13" t="inlineStr">
        <is>
          <t>Nota 1–10</t>
        </is>
      </c>
      <c r="E6" s="39" t="inlineStr">
        <is>
          <t>20%</t>
        </is>
      </c>
      <c r="F6" s="9" t="inlineStr">
        <is>
          <t>Coeficiente de aproveitamento, testada, recuos</t>
        </is>
      </c>
    </row>
    <row r="7">
      <c r="A7" s="7" t="inlineStr">
        <is>
          <t>Preço do terreno (% VGV estimado)</t>
        </is>
      </c>
      <c r="B7" s="13" t="inlineStr">
        <is>
          <t>Nota 1–10</t>
        </is>
      </c>
      <c r="C7" s="13" t="inlineStr">
        <is>
          <t>Nota 1–10</t>
        </is>
      </c>
      <c r="D7" s="13" t="inlineStr">
        <is>
          <t>Nota 1–10</t>
        </is>
      </c>
      <c r="E7" s="39" t="inlineStr">
        <is>
          <t>20%</t>
        </is>
      </c>
      <c r="F7" s="9" t="inlineStr">
        <is>
          <t>Quanto menor o % VGV, melhor a nota</t>
        </is>
      </c>
    </row>
    <row r="8">
      <c r="A8" s="7" t="inlineStr">
        <is>
          <t>Situação jurídica / Due Diligence</t>
        </is>
      </c>
      <c r="B8" s="13" t="inlineStr">
        <is>
          <t>Nota 1–10</t>
        </is>
      </c>
      <c r="C8" s="13" t="inlineStr">
        <is>
          <t>Nota 1–10</t>
        </is>
      </c>
      <c r="D8" s="13" t="inlineStr">
        <is>
          <t>Nota 1–10</t>
        </is>
      </c>
      <c r="E8" s="39" t="inlineStr">
        <is>
          <t>15%</t>
        </is>
      </c>
      <c r="F8" s="9" t="inlineStr">
        <is>
          <t>Escritura, ITBI pago, dívidas, ônus</t>
        </is>
      </c>
    </row>
    <row r="9">
      <c r="A9" s="7" t="inlineStr">
        <is>
          <t>Demanda local (pesquisa)</t>
        </is>
      </c>
      <c r="B9" s="13" t="inlineStr">
        <is>
          <t>Nota 1–10</t>
        </is>
      </c>
      <c r="C9" s="13" t="inlineStr">
        <is>
          <t>Nota 1–10</t>
        </is>
      </c>
      <c r="D9" s="13" t="inlineStr">
        <is>
          <t>Nota 1–10</t>
        </is>
      </c>
      <c r="E9" s="39" t="inlineStr">
        <is>
          <t>15%</t>
        </is>
      </c>
      <c r="F9" s="9" t="inlineStr">
        <is>
          <t>Absorção mensal, concorrentes ativos</t>
        </is>
      </c>
    </row>
    <row r="10">
      <c r="A10" s="7" t="inlineStr">
        <is>
          <t>Viabilidade de permuta (facilidade)</t>
        </is>
      </c>
      <c r="B10" s="13" t="inlineStr">
        <is>
          <t>Nota 1–10</t>
        </is>
      </c>
      <c r="C10" s="13" t="inlineStr">
        <is>
          <t>Nota 1–10</t>
        </is>
      </c>
      <c r="D10" s="13" t="inlineStr">
        <is>
          <t>Nota 1–10</t>
        </is>
      </c>
      <c r="E10" s="39" t="inlineStr">
        <is>
          <t>10%</t>
        </is>
      </c>
      <c r="F10" s="9" t="inlineStr">
        <is>
          <t>Abertura do proprietário, histórico</t>
        </is>
      </c>
    </row>
    <row r="11">
      <c r="A11" s="34" t="inlineStr">
        <is>
          <t>SCORE TOTAL PONDERADO (preenchimento manual)</t>
        </is>
      </c>
      <c r="B11" s="40" t="inlineStr">
        <is>
          <t>---</t>
        </is>
      </c>
      <c r="C11" s="40" t="inlineStr">
        <is>
          <t>---</t>
        </is>
      </c>
      <c r="D11" s="40" t="inlineStr">
        <is>
          <t>---</t>
        </is>
      </c>
    </row>
    <row r="13">
      <c r="A13" s="34" t="inlineStr">
        <is>
          <t>DADOS FINANCEIROS DO TERRENO SELECIONADO</t>
        </is>
      </c>
    </row>
    <row r="14">
      <c r="A14" s="41" t="inlineStr">
        <is>
          <t>Endereço / Identificação</t>
        </is>
      </c>
      <c r="B14" s="42" t="inlineStr">
        <is>
          <t>Rua/Bairro — Cidade/UF</t>
        </is>
      </c>
      <c r="C14" s="43" t="n"/>
      <c r="D14" s="43" t="n"/>
      <c r="E14" s="43" t="n"/>
      <c r="F14" s="44" t="n"/>
    </row>
    <row r="15">
      <c r="A15" s="41" t="inlineStr">
        <is>
          <t>Área do terreno (m²)</t>
        </is>
      </c>
      <c r="B15" s="45" t="n">
        <v>500</v>
      </c>
      <c r="C15" s="43" t="n"/>
      <c r="D15" s="43" t="n"/>
      <c r="E15" s="43" t="n"/>
      <c r="F15" s="44" t="n"/>
    </row>
    <row r="16">
      <c r="A16" s="41" t="inlineStr">
        <is>
          <t>Preço pedido pelo proprietário (R$)</t>
        </is>
      </c>
      <c r="B16" s="45" t="n">
        <v>900000</v>
      </c>
      <c r="C16" s="43" t="n"/>
      <c r="D16" s="43" t="n"/>
      <c r="E16" s="43" t="n"/>
      <c r="F16" s="44" t="n"/>
    </row>
    <row r="17">
      <c r="A17" s="41" t="inlineStr">
        <is>
          <t>Preço negociado estimado (R$)</t>
        </is>
      </c>
      <c r="B17" s="45" t="n">
        <v>800000</v>
      </c>
      <c r="C17" s="43" t="n"/>
      <c r="D17" s="43" t="n"/>
      <c r="E17" s="43" t="n"/>
      <c r="F17" s="44" t="n"/>
    </row>
    <row r="18">
      <c r="A18" s="41" t="inlineStr">
        <is>
          <t>% do VGV estimado</t>
        </is>
      </c>
      <c r="B18" s="42">
        <f>D/VGV — calcular manualmente</f>
        <v/>
      </c>
      <c r="C18" s="43" t="n"/>
      <c r="D18" s="43" t="n"/>
      <c r="E18" s="43" t="n"/>
      <c r="F18" s="44" t="n"/>
    </row>
    <row r="19">
      <c r="A19" s="41" t="inlineStr">
        <is>
          <t>Modalidade de aquisição</t>
        </is>
      </c>
      <c r="B19" s="42" t="inlineStr">
        <is>
          <t>Compra direta / Permuta / Consórcio</t>
        </is>
      </c>
      <c r="C19" s="43" t="n"/>
      <c r="D19" s="43" t="n"/>
      <c r="E19" s="43" t="n"/>
      <c r="F19" s="44" t="n"/>
    </row>
    <row r="20">
      <c r="A20" s="41" t="inlineStr">
        <is>
          <t>Potencial construtivo (unidades)</t>
        </is>
      </c>
      <c r="B20" s="45" t="n">
        <v>16</v>
      </c>
      <c r="C20" s="43" t="n"/>
      <c r="D20" s="43" t="n"/>
      <c r="E20" s="43" t="n"/>
      <c r="F20" s="44" t="n"/>
    </row>
    <row r="21">
      <c r="A21" s="41" t="inlineStr">
        <is>
          <t>VGV estimado do terreno</t>
        </is>
      </c>
      <c r="B21" s="42">
        <f>unidades × área média × R$/m²</f>
        <v/>
      </c>
      <c r="C21" s="43" t="n"/>
      <c r="D21" s="43" t="n"/>
      <c r="E21" s="43" t="n"/>
      <c r="F21" s="44" t="n"/>
    </row>
    <row r="22">
      <c r="A22" s="41" t="inlineStr">
        <is>
          <t>Contato do proprietário</t>
        </is>
      </c>
      <c r="B22" s="42" t="inlineStr">
        <is>
          <t>Nome / Telefone</t>
        </is>
      </c>
      <c r="C22" s="43" t="n"/>
      <c r="D22" s="43" t="n"/>
      <c r="E22" s="43" t="n"/>
      <c r="F22" s="44" t="n"/>
    </row>
    <row r="23">
      <c r="A23" s="41" t="inlineStr">
        <is>
          <t>Status da negociação</t>
        </is>
      </c>
      <c r="B23" s="42" t="inlineStr">
        <is>
          <t>Prospecção / Em negociação / Fechado</t>
        </is>
      </c>
      <c r="C23" s="43" t="n"/>
      <c r="D23" s="43" t="n"/>
      <c r="E23" s="43" t="n"/>
      <c r="F23" s="44" t="n"/>
    </row>
  </sheetData>
  <mergeCells count="12">
    <mergeCell ref="B21:F21"/>
    <mergeCell ref="A2:F2"/>
    <mergeCell ref="B16:F16"/>
    <mergeCell ref="B20:F20"/>
    <mergeCell ref="B15:F15"/>
    <mergeCell ref="A1:F1"/>
    <mergeCell ref="B19:F19"/>
    <mergeCell ref="B23:F23"/>
    <mergeCell ref="B22:F22"/>
    <mergeCell ref="B14:F14"/>
    <mergeCell ref="B17:F17"/>
    <mergeCell ref="B18:F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28" customWidth="1" min="5" max="5"/>
  </cols>
  <sheetData>
    <row r="1" ht="36" customHeight="1">
      <c r="A1" s="22" t="inlineStr">
        <is>
          <t>PAINEL DE KPIs — INCORPORADORA IMOBILIÁRIA</t>
        </is>
      </c>
    </row>
    <row r="3">
      <c r="A3" s="5" t="inlineStr">
        <is>
          <t>KPIs FINANCEIROS POR EMPREENDIMENTO</t>
        </is>
      </c>
    </row>
    <row r="4">
      <c r="A4" s="6" t="inlineStr">
        <is>
          <t>KPI</t>
        </is>
      </c>
      <c r="B4" s="6" t="inlineStr">
        <is>
          <t>Unidade</t>
        </is>
      </c>
      <c r="C4" s="6" t="inlineStr">
        <is>
          <t>Meta</t>
        </is>
      </c>
      <c r="D4" s="6" t="inlineStr">
        <is>
          <t>Realizado</t>
        </is>
      </c>
      <c r="E4" s="6" t="inlineStr">
        <is>
          <t>Observação</t>
        </is>
      </c>
    </row>
    <row r="5">
      <c r="A5" s="41" t="inlineStr">
        <is>
          <t>VGV Total do Empreendimento</t>
        </is>
      </c>
      <c r="B5" s="39" t="inlineStr">
        <is>
          <t>R$</t>
        </is>
      </c>
      <c r="C5" s="46" t="inlineStr">
        <is>
          <t>Benchmark</t>
        </is>
      </c>
      <c r="D5" s="13" t="inlineStr">
        <is>
          <t>Real</t>
        </is>
      </c>
      <c r="E5" s="9" t="inlineStr">
        <is>
          <t>Quanto maior o projeto, maior a escala</t>
        </is>
      </c>
    </row>
    <row r="6">
      <c r="A6" s="41" t="inlineStr">
        <is>
          <t>Margem Bruta sobre VGV</t>
        </is>
      </c>
      <c r="B6" s="39" t="inlineStr">
        <is>
          <t>%</t>
        </is>
      </c>
      <c r="C6" s="46" t="inlineStr">
        <is>
          <t>≥ 25%</t>
        </is>
      </c>
      <c r="D6" s="13" t="inlineStr">
        <is>
          <t>---</t>
        </is>
      </c>
      <c r="E6" s="9" t="inlineStr">
        <is>
          <t>Abaixo de 20% = rever premissas</t>
        </is>
      </c>
    </row>
    <row r="7">
      <c r="A7" s="41" t="inlineStr">
        <is>
          <t>ROE (Retorno s/ Capital Próprio)</t>
        </is>
      </c>
      <c r="B7" s="39" t="inlineStr">
        <is>
          <t>%</t>
        </is>
      </c>
      <c r="C7" s="46" t="inlineStr">
        <is>
          <t>≥ 25%</t>
        </is>
      </c>
      <c r="D7" s="13" t="inlineStr">
        <is>
          <t>---</t>
        </is>
      </c>
      <c r="E7" s="9" t="inlineStr">
        <is>
          <t>Retorno total do projeto</t>
        </is>
      </c>
    </row>
    <row r="8">
      <c r="A8" s="41" t="inlineStr">
        <is>
          <t>TIR Anualizada</t>
        </is>
      </c>
      <c r="B8" s="39" t="inlineStr">
        <is>
          <t>% a.a.</t>
        </is>
      </c>
      <c r="C8" s="46" t="inlineStr">
        <is>
          <t>≥ 18%</t>
        </is>
      </c>
      <c r="D8" s="13" t="inlineStr">
        <is>
          <t>---</t>
        </is>
      </c>
      <c r="E8" s="9" t="inlineStr">
        <is>
          <t>Considera prazo total do projeto</t>
        </is>
      </c>
    </row>
    <row r="9">
      <c r="A9" s="41" t="inlineStr">
        <is>
          <t>Payback do Capital Próprio</t>
        </is>
      </c>
      <c r="B9" s="39" t="inlineStr">
        <is>
          <t>meses</t>
        </is>
      </c>
      <c r="C9" s="46" t="inlineStr">
        <is>
          <t>≤ 36</t>
        </is>
      </c>
      <c r="D9" s="13" t="inlineStr">
        <is>
          <t>---</t>
        </is>
      </c>
      <c r="E9" s="9" t="inlineStr">
        <is>
          <t>Meses até recuperar o investido</t>
        </is>
      </c>
    </row>
    <row r="10">
      <c r="A10" s="41" t="inlineStr">
        <is>
          <t>Custo de Obra / VGV</t>
        </is>
      </c>
      <c r="B10" s="39" t="inlineStr">
        <is>
          <t>%</t>
        </is>
      </c>
      <c r="C10" s="46" t="inlineStr">
        <is>
          <t>≤ 55%</t>
        </is>
      </c>
      <c r="D10" s="13" t="inlineStr">
        <is>
          <t>---</t>
        </is>
      </c>
      <c r="E10" s="9" t="inlineStr">
        <is>
          <t>Inclui materiais, mão de obra, BDI</t>
        </is>
      </c>
    </row>
    <row r="12">
      <c r="A12" s="5" t="inlineStr">
        <is>
          <t>KPIs COMERCIAIS</t>
        </is>
      </c>
    </row>
    <row r="13">
      <c r="A13" s="6" t="inlineStr">
        <is>
          <t>KPI</t>
        </is>
      </c>
      <c r="B13" s="6" t="inlineStr">
        <is>
          <t>Unidade</t>
        </is>
      </c>
      <c r="C13" s="6" t="inlineStr">
        <is>
          <t>Meta</t>
        </is>
      </c>
      <c r="D13" s="6" t="inlineStr">
        <is>
          <t>Realizado</t>
        </is>
      </c>
      <c r="E13" s="6" t="inlineStr">
        <is>
          <t>Observação</t>
        </is>
      </c>
    </row>
    <row r="14">
      <c r="A14" s="41" t="inlineStr">
        <is>
          <t>% Vendas no lançamento (30 dias)</t>
        </is>
      </c>
      <c r="B14" s="39" t="inlineStr">
        <is>
          <t>%</t>
        </is>
      </c>
      <c r="C14" s="46" t="inlineStr">
        <is>
          <t>≥ 40%</t>
        </is>
      </c>
      <c r="D14" s="13" t="inlineStr">
        <is>
          <t>---</t>
        </is>
      </c>
      <c r="E14" s="9" t="inlineStr">
        <is>
          <t>Válida a aceitação do produto</t>
        </is>
      </c>
    </row>
    <row r="15">
      <c r="A15" s="41" t="inlineStr">
        <is>
          <t>% Vendas antes do início da obra</t>
        </is>
      </c>
      <c r="B15" s="39" t="inlineStr">
        <is>
          <t>%</t>
        </is>
      </c>
      <c r="C15" s="46" t="inlineStr">
        <is>
          <t>≥ 60%</t>
        </is>
      </c>
      <c r="D15" s="13" t="inlineStr">
        <is>
          <t>---</t>
        </is>
      </c>
      <c r="E15" s="9" t="inlineStr">
        <is>
          <t>Gatilho para financiamento CEF</t>
        </is>
      </c>
    </row>
    <row r="16">
      <c r="A16" s="41" t="inlineStr">
        <is>
          <t>Velocidade de Vendas (un/mês)</t>
        </is>
      </c>
      <c r="B16" s="39" t="inlineStr">
        <is>
          <t>un/mês</t>
        </is>
      </c>
      <c r="C16" s="46" t="inlineStr">
        <is>
          <t>Definir</t>
        </is>
      </c>
      <c r="D16" s="13" t="inlineStr">
        <is>
          <t>---</t>
        </is>
      </c>
      <c r="E16" s="9" t="inlineStr">
        <is>
          <t>Depende do total de unidades</t>
        </is>
      </c>
    </row>
    <row r="17">
      <c r="A17" s="41" t="inlineStr">
        <is>
          <t>Ticket médio realizado vs. planejado</t>
        </is>
      </c>
      <c r="B17" s="39" t="inlineStr">
        <is>
          <t>%</t>
        </is>
      </c>
      <c r="C17" s="46" t="inlineStr">
        <is>
          <t>≥ 100%</t>
        </is>
      </c>
      <c r="D17" s="13" t="inlineStr">
        <is>
          <t>---</t>
        </is>
      </c>
      <c r="E17" s="9" t="inlineStr">
        <is>
          <t>Indica pricing adequado</t>
        </is>
      </c>
    </row>
    <row r="18">
      <c r="A18" s="41" t="inlineStr">
        <is>
          <t>% Unidades com financiamento bancário</t>
        </is>
      </c>
      <c r="B18" s="39" t="inlineStr">
        <is>
          <t>%</t>
        </is>
      </c>
      <c r="C18" s="46" t="inlineStr">
        <is>
          <t>Benchmark</t>
        </is>
      </c>
      <c r="D18" s="13" t="inlineStr">
        <is>
          <t>---</t>
        </is>
      </c>
      <c r="E18" s="9" t="inlineStr">
        <is>
          <t>Indica perfil dos compradores</t>
        </is>
      </c>
    </row>
    <row r="20">
      <c r="A20" s="5" t="inlineStr">
        <is>
          <t>KPIs OPERACIONAIS DE OBRA</t>
        </is>
      </c>
    </row>
    <row r="21">
      <c r="A21" s="6" t="inlineStr">
        <is>
          <t>KPI</t>
        </is>
      </c>
      <c r="B21" s="6" t="inlineStr">
        <is>
          <t>Unidade</t>
        </is>
      </c>
      <c r="C21" s="6" t="inlineStr">
        <is>
          <t>Meta</t>
        </is>
      </c>
      <c r="D21" s="6" t="inlineStr">
        <is>
          <t>Realizado</t>
        </is>
      </c>
      <c r="E21" s="6" t="inlineStr">
        <is>
          <t>Observação</t>
        </is>
      </c>
    </row>
    <row r="22">
      <c r="A22" s="41" t="inlineStr">
        <is>
          <t>Desvio de prazo de obra</t>
        </is>
      </c>
      <c r="B22" s="39" t="inlineStr">
        <is>
          <t>%</t>
        </is>
      </c>
      <c r="C22" s="46" t="inlineStr">
        <is>
          <t>≤ 10%</t>
        </is>
      </c>
      <c r="D22" s="13" t="inlineStr">
        <is>
          <t>---</t>
        </is>
      </c>
      <c r="E22" s="9" t="inlineStr">
        <is>
          <t>Atraso impacta custo e reputação</t>
        </is>
      </c>
    </row>
    <row r="23">
      <c r="A23" s="41" t="inlineStr">
        <is>
          <t>Desvio de custo de obra</t>
        </is>
      </c>
      <c r="B23" s="39" t="inlineStr">
        <is>
          <t>%</t>
        </is>
      </c>
      <c r="C23" s="46" t="inlineStr">
        <is>
          <t>≤ 8%</t>
        </is>
      </c>
      <c r="D23" s="13" t="inlineStr">
        <is>
          <t>---</t>
        </is>
      </c>
      <c r="E23" s="9" t="inlineStr">
        <is>
          <t>Orçado vs. realizado</t>
        </is>
      </c>
    </row>
    <row r="24">
      <c r="A24" s="41" t="inlineStr">
        <is>
          <t>% Medições pagas no prazo pela CEF</t>
        </is>
      </c>
      <c r="B24" s="39" t="inlineStr">
        <is>
          <t>%</t>
        </is>
      </c>
      <c r="C24" s="46">
        <f> 100%</f>
        <v/>
      </c>
      <c r="D24" s="13" t="inlineStr">
        <is>
          <t>---</t>
        </is>
      </c>
      <c r="E24" s="9" t="inlineStr">
        <is>
          <t>Indica conformidade do laudo</t>
        </is>
      </c>
    </row>
    <row r="25">
      <c r="A25" s="41" t="inlineStr">
        <is>
          <t>Prazo de aprovação na prefeitura</t>
        </is>
      </c>
      <c r="B25" s="39" t="inlineStr">
        <is>
          <t>dias</t>
        </is>
      </c>
      <c r="C25" s="46" t="inlineStr">
        <is>
          <t>≤ 180</t>
        </is>
      </c>
      <c r="D25" s="13" t="inlineStr">
        <is>
          <t>---</t>
        </is>
      </c>
      <c r="E25" s="9" t="inlineStr">
        <is>
          <t>Contado do protocolo ao alvará</t>
        </is>
      </c>
    </row>
    <row r="26">
      <c r="A26" s="41" t="inlineStr">
        <is>
          <t>Número de notificações/embargos</t>
        </is>
      </c>
      <c r="B26" s="39" t="inlineStr">
        <is>
          <t>qtd</t>
        </is>
      </c>
      <c r="C26" s="46">
        <f> 0</f>
        <v/>
      </c>
      <c r="D26" s="13" t="inlineStr">
        <is>
          <t>---</t>
        </is>
      </c>
      <c r="E26" s="9" t="inlineStr">
        <is>
          <t>Risco jurídico e reputacional</t>
        </is>
      </c>
    </row>
  </sheetData>
  <mergeCells count="4">
    <mergeCell ref="A20:E20"/>
    <mergeCell ref="A1:E1"/>
    <mergeCell ref="A12:E1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2026-03-30T11:18:41Z</dcterms:created>
  <dcterms:modified xmlns:dcterms="http://purl.org/dc/terms/" xmlns:xsi="http://www.w3.org/2001/XMLSchema-instance" xsi:type="dcterms:W3CDTF">2026-03-30T11:18:41Z</dcterms:modified>
</cp:coreProperties>
</file>