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in\Projeto Teste Claude\Incorporadora Imobiliária\07_FINANCEIRO\"/>
    </mc:Choice>
  </mc:AlternateContent>
  <xr:revisionPtr revIDLastSave="0" documentId="13_ncr:1_{7D8E1AA3-DBB5-4CA0-BA74-2A78D2D4B595}" xr6:coauthVersionLast="47" xr6:coauthVersionMax="47" xr10:uidLastSave="{00000000-0000-0000-0000-000000000000}"/>
  <bookViews>
    <workbookView xWindow="-120" yWindow="-120" windowWidth="34890" windowHeight="14370" tabRatio="500" xr2:uid="{00000000-000D-0000-FFFF-FFFF00000000}"/>
  </bookViews>
  <sheets>
    <sheet name="DASHBOARD" sheetId="1" r:id="rId1"/>
    <sheet name="CONFIG" sheetId="2" r:id="rId2"/>
    <sheet name="RECEITAS" sheetId="3" r:id="rId3"/>
    <sheet name="CUSTOS" sheetId="4" r:id="rId4"/>
    <sheet name="CRONOGRAMA" sheetId="5" r:id="rId5"/>
    <sheet name="FORNECEDORES" sheetId="6" r:id="rId6"/>
    <sheet name="DESEMBOLSO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14" i="7" l="1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C13" i="7" s="1"/>
  <c r="D13" i="7" s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K23" i="6"/>
  <c r="I23" i="6"/>
  <c r="H23" i="6"/>
  <c r="J23" i="6" s="1"/>
  <c r="K22" i="6"/>
  <c r="I22" i="6"/>
  <c r="H22" i="6"/>
  <c r="J22" i="6" s="1"/>
  <c r="K21" i="6"/>
  <c r="I21" i="6"/>
  <c r="H21" i="6"/>
  <c r="J21" i="6" s="1"/>
  <c r="K20" i="6"/>
  <c r="I20" i="6"/>
  <c r="H20" i="6"/>
  <c r="J20" i="6" s="1"/>
  <c r="K19" i="6"/>
  <c r="I19" i="6"/>
  <c r="H19" i="6"/>
  <c r="J19" i="6" s="1"/>
  <c r="K18" i="6"/>
  <c r="I18" i="6"/>
  <c r="H18" i="6"/>
  <c r="J18" i="6" s="1"/>
  <c r="K17" i="6"/>
  <c r="I17" i="6"/>
  <c r="H17" i="6"/>
  <c r="J17" i="6" s="1"/>
  <c r="K16" i="6"/>
  <c r="I16" i="6"/>
  <c r="H16" i="6"/>
  <c r="J16" i="6" s="1"/>
  <c r="K15" i="6"/>
  <c r="I15" i="6"/>
  <c r="H15" i="6"/>
  <c r="J15" i="6" s="1"/>
  <c r="K14" i="6"/>
  <c r="I14" i="6"/>
  <c r="H14" i="6"/>
  <c r="J14" i="6" s="1"/>
  <c r="I13" i="6"/>
  <c r="H13" i="6"/>
  <c r="J13" i="6" s="1"/>
  <c r="K13" i="6" s="1"/>
  <c r="I12" i="6"/>
  <c r="H12" i="6"/>
  <c r="J12" i="6" s="1"/>
  <c r="K12" i="6" s="1"/>
  <c r="I11" i="6"/>
  <c r="H11" i="6"/>
  <c r="J11" i="6" s="1"/>
  <c r="K11" i="6" s="1"/>
  <c r="I10" i="6"/>
  <c r="H10" i="6"/>
  <c r="J10" i="6" s="1"/>
  <c r="K10" i="6" s="1"/>
  <c r="I9" i="6"/>
  <c r="H9" i="6"/>
  <c r="J9" i="6" s="1"/>
  <c r="K9" i="6" s="1"/>
  <c r="I8" i="6"/>
  <c r="H8" i="6"/>
  <c r="J8" i="6" s="1"/>
  <c r="K8" i="6" s="1"/>
  <c r="I7" i="6"/>
  <c r="H7" i="6"/>
  <c r="J7" i="6" s="1"/>
  <c r="K7" i="6" s="1"/>
  <c r="I6" i="6"/>
  <c r="H6" i="6"/>
  <c r="J6" i="6" s="1"/>
  <c r="K6" i="6" s="1"/>
  <c r="I5" i="6"/>
  <c r="H5" i="6"/>
  <c r="J5" i="6" s="1"/>
  <c r="K5" i="6" s="1"/>
  <c r="I4" i="6"/>
  <c r="H4" i="6"/>
  <c r="J4" i="6" s="1"/>
  <c r="K4" i="6" s="1"/>
  <c r="F17" i="5"/>
  <c r="F16" i="5"/>
  <c r="F15" i="5"/>
  <c r="F14" i="5"/>
  <c r="F11" i="5"/>
  <c r="E11" i="5"/>
  <c r="F18" i="5" s="1"/>
  <c r="F35" i="1" s="1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12" i="4"/>
  <c r="E12" i="4"/>
  <c r="D12" i="4"/>
  <c r="G12" i="4" s="1"/>
  <c r="C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F24" i="3"/>
  <c r="E24" i="3"/>
  <c r="D24" i="3"/>
  <c r="C24" i="3"/>
  <c r="G23" i="3"/>
  <c r="G22" i="3"/>
  <c r="G21" i="3"/>
  <c r="G20" i="3"/>
  <c r="G24" i="3" s="1"/>
  <c r="C9" i="3"/>
  <c r="G8" i="3"/>
  <c r="E8" i="3"/>
  <c r="E7" i="3"/>
  <c r="G7" i="3" s="1"/>
  <c r="G6" i="3"/>
  <c r="E6" i="3"/>
  <c r="E5" i="3"/>
  <c r="E9" i="3" s="1"/>
  <c r="C22" i="2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D23" i="1"/>
  <c r="E23" i="1" s="1"/>
  <c r="F23" i="1" s="1"/>
  <c r="G23" i="1" s="1"/>
  <c r="C23" i="1"/>
  <c r="H23" i="1" s="1"/>
  <c r="H22" i="1"/>
  <c r="D22" i="1"/>
  <c r="E22" i="1" s="1"/>
  <c r="F22" i="1" s="1"/>
  <c r="G22" i="1" s="1"/>
  <c r="C22" i="1"/>
  <c r="D21" i="1"/>
  <c r="E21" i="1" s="1"/>
  <c r="F21" i="1" s="1"/>
  <c r="G21" i="1" s="1"/>
  <c r="C21" i="1"/>
  <c r="H21" i="1" s="1"/>
  <c r="H20" i="1"/>
  <c r="D20" i="1"/>
  <c r="E20" i="1" s="1"/>
  <c r="F20" i="1" s="1"/>
  <c r="G20" i="1" s="1"/>
  <c r="C20" i="1"/>
  <c r="D19" i="1"/>
  <c r="E19" i="1" s="1"/>
  <c r="F19" i="1" s="1"/>
  <c r="G19" i="1" s="1"/>
  <c r="C19" i="1"/>
  <c r="H19" i="1" s="1"/>
  <c r="H18" i="1"/>
  <c r="D18" i="1"/>
  <c r="E18" i="1" s="1"/>
  <c r="F18" i="1" s="1"/>
  <c r="G18" i="1" s="1"/>
  <c r="C18" i="1"/>
  <c r="D17" i="1"/>
  <c r="E17" i="1" s="1"/>
  <c r="F17" i="1" s="1"/>
  <c r="G17" i="1" s="1"/>
  <c r="C17" i="1"/>
  <c r="H17" i="1" s="1"/>
  <c r="D16" i="1"/>
  <c r="E16" i="1" s="1"/>
  <c r="F16" i="1" s="1"/>
  <c r="G16" i="1" s="1"/>
  <c r="C16" i="1"/>
  <c r="D15" i="1"/>
  <c r="E15" i="1" s="1"/>
  <c r="F15" i="1" s="1"/>
  <c r="G15" i="1" s="1"/>
  <c r="C15" i="1"/>
  <c r="H15" i="1" s="1"/>
  <c r="J10" i="1"/>
  <c r="I10" i="1"/>
  <c r="D10" i="1"/>
  <c r="J9" i="1"/>
  <c r="D8" i="1"/>
  <c r="D9" i="1" s="1"/>
  <c r="C8" i="1"/>
  <c r="J7" i="1"/>
  <c r="I7" i="1"/>
  <c r="D7" i="1"/>
  <c r="A3" i="1"/>
  <c r="A2" i="1"/>
  <c r="G12" i="3" l="1"/>
  <c r="I48" i="1"/>
  <c r="D47" i="1"/>
  <c r="F45" i="1"/>
  <c r="H43" i="1"/>
  <c r="C42" i="1"/>
  <c r="E40" i="1"/>
  <c r="H48" i="1"/>
  <c r="C47" i="1"/>
  <c r="E45" i="1"/>
  <c r="G43" i="1"/>
  <c r="I41" i="1"/>
  <c r="D40" i="1"/>
  <c r="G48" i="1"/>
  <c r="I46" i="1"/>
  <c r="D45" i="1"/>
  <c r="F43" i="1"/>
  <c r="H41" i="1"/>
  <c r="C40" i="1"/>
  <c r="H46" i="1"/>
  <c r="C45" i="1"/>
  <c r="E43" i="1"/>
  <c r="G41" i="1"/>
  <c r="F48" i="1"/>
  <c r="E48" i="1"/>
  <c r="G46" i="1"/>
  <c r="I44" i="1"/>
  <c r="D43" i="1"/>
  <c r="F41" i="1"/>
  <c r="H39" i="1"/>
  <c r="D48" i="1"/>
  <c r="F46" i="1"/>
  <c r="H44" i="1"/>
  <c r="C43" i="1"/>
  <c r="E41" i="1"/>
  <c r="G39" i="1"/>
  <c r="C48" i="1"/>
  <c r="E46" i="1"/>
  <c r="G44" i="1"/>
  <c r="I42" i="1"/>
  <c r="D41" i="1"/>
  <c r="F39" i="1"/>
  <c r="I47" i="1"/>
  <c r="D46" i="1"/>
  <c r="F44" i="1"/>
  <c r="H42" i="1"/>
  <c r="C41" i="1"/>
  <c r="E39" i="1"/>
  <c r="H47" i="1"/>
  <c r="C46" i="1"/>
  <c r="E44" i="1"/>
  <c r="G42" i="1"/>
  <c r="I40" i="1"/>
  <c r="D39" i="1"/>
  <c r="I39" i="1"/>
  <c r="G47" i="1"/>
  <c r="I45" i="1"/>
  <c r="D44" i="1"/>
  <c r="F42" i="1"/>
  <c r="H40" i="1"/>
  <c r="C39" i="1"/>
  <c r="F47" i="1"/>
  <c r="H45" i="1"/>
  <c r="C44" i="1"/>
  <c r="E42" i="1"/>
  <c r="G40" i="1"/>
  <c r="E47" i="1"/>
  <c r="G45" i="1"/>
  <c r="I43" i="1"/>
  <c r="D42" i="1"/>
  <c r="F40" i="1"/>
  <c r="G5" i="3"/>
  <c r="G9" i="3" s="1"/>
  <c r="H16" i="1"/>
  <c r="D11" i="1"/>
  <c r="F9" i="3" l="1"/>
  <c r="G14" i="3"/>
  <c r="C7" i="1"/>
  <c r="G13" i="3"/>
  <c r="G15" i="3"/>
  <c r="C9" i="1" l="1"/>
  <c r="C11" i="1"/>
  <c r="I8" i="1" l="1"/>
  <c r="C10" i="1"/>
  <c r="E10" i="1" s="1"/>
  <c r="I9" i="1"/>
  <c r="I11" i="1" l="1"/>
  <c r="K9" i="1"/>
</calcChain>
</file>

<file path=xl/sharedStrings.xml><?xml version="1.0" encoding="utf-8"?>
<sst xmlns="http://schemas.openxmlformats.org/spreadsheetml/2006/main" count="249" uniqueCount="177">
  <si>
    <t>DASHBOARD — VIABILIDADE ECONÔMICA DO EMPREENDIMENTO</t>
  </si>
  <si>
    <t>💰  MARGEM DO EMPREENDIMENTO</t>
  </si>
  <si>
    <t>📈  ROI DO EMPREENDIMENTO</t>
  </si>
  <si>
    <t>INDICADOR</t>
  </si>
  <si>
    <t>VALOR</t>
  </si>
  <si>
    <t>META</t>
  </si>
  <si>
    <t>STATUS</t>
  </si>
  <si>
    <t>VGV Total (R$)</t>
  </si>
  <si>
    <t>—</t>
  </si>
  <si>
    <t>Capital Próprio (R$)</t>
  </si>
  <si>
    <t>Custo Realizado (R$)</t>
  </si>
  <si>
    <t>Lucro Bruto (R$)</t>
  </si>
  <si>
    <t>ROI Total (%)</t>
  </si>
  <si>
    <t>Margem Bruta (%)</t>
  </si>
  <si>
    <t>Prazo Previsto (meses)</t>
  </si>
  <si>
    <t>Custo/VGV (%)</t>
  </si>
  <si>
    <t>ROI Anualizado (%)</t>
  </si>
  <si>
    <t>🔍  CUSTO REALIZADO vs. PREVISTO POR CATEGORIA</t>
  </si>
  <si>
    <t>CATEGORIA</t>
  </si>
  <si>
    <t>ORÇADO (R$)</t>
  </si>
  <si>
    <t>REALIZADO (R$)</t>
  </si>
  <si>
    <t>DESVIO (R$)</t>
  </si>
  <si>
    <t>DESVIO (%)</t>
  </si>
  <si>
    <t>% EXEC.</t>
  </si>
  <si>
    <t>Terreno</t>
  </si>
  <si>
    <t>Projetos e Aprovações</t>
  </si>
  <si>
    <t>Obra Civil</t>
  </si>
  <si>
    <t>Instalações</t>
  </si>
  <si>
    <t>Marketing</t>
  </si>
  <si>
    <t>Comercialização</t>
  </si>
  <si>
    <t>Financeiro (Juros/CET)</t>
  </si>
  <si>
    <t>Outros</t>
  </si>
  <si>
    <t>TOTAL GERAL</t>
  </si>
  <si>
    <t>📅  PRAZO REAL vs. PLANEJADO — FASES DO EMPREENDIMENTO</t>
  </si>
  <si>
    <t>FASE</t>
  </si>
  <si>
    <t>PLANEJADO</t>
  </si>
  <si>
    <t>REALIZADO</t>
  </si>
  <si>
    <t>DESVIO</t>
  </si>
  <si>
    <t>1. Aquisição do Terreno</t>
  </si>
  <si>
    <t>2. Projeto Arquitetônico</t>
  </si>
  <si>
    <t>3. Aprovações e Licenças</t>
  </si>
  <si>
    <t>4. Lançamento Comercial</t>
  </si>
  <si>
    <t>5. Obra — Início</t>
  </si>
  <si>
    <t>6. Obra — Conclusão</t>
  </si>
  <si>
    <t>7. Habite-se</t>
  </si>
  <si>
    <t>8. Entrega de Chaves</t>
  </si>
  <si>
    <t>Desvio Total Acumulado (dias)</t>
  </si>
  <si>
    <t>🏗️  RANKING DE FORNECEDORES — TOP 10 POR SCORE DE RISCO</t>
  </si>
  <si>
    <t>RANK</t>
  </si>
  <si>
    <t>FORNECEDOR</t>
  </si>
  <si>
    <t>DESV. CUSTO %</t>
  </si>
  <si>
    <t>DESV. PRAZO %</t>
  </si>
  <si>
    <t>SCORE</t>
  </si>
  <si>
    <t>📊  CURVA DE DESEMBOLSO MENSAL — REALIZADO vs. ACUMULADO</t>
  </si>
  <si>
    <t>⚡  Dica: Atualize os dados nas abas CUSTOS, CRONOGRAMA, FORNECEDORES e DESEMBOLSO. Este dashboard recalcula automaticamente.</t>
  </si>
  <si>
    <t>⚙️  CONFIGURAÇÕES DO EMPREENDIMENTO</t>
  </si>
  <si>
    <t>DADOS DO EMPREENDIMENTO</t>
  </si>
  <si>
    <t>Nome do Empreendimento</t>
  </si>
  <si>
    <t>Residencial Parque Verde</t>
  </si>
  <si>
    <t>Endereço</t>
  </si>
  <si>
    <t>Rua das Flores, 100 – SP/SP</t>
  </si>
  <si>
    <t>Data de Início</t>
  </si>
  <si>
    <t>VGV Total Projetado (R$)</t>
  </si>
  <si>
    <t>Custo Total Orçado (R$)</t>
  </si>
  <si>
    <t>Capital Próprio Investido (R$)</t>
  </si>
  <si>
    <t>METAS DO PROJETO</t>
  </si>
  <si>
    <t>Meta de Margem Bruta (%)</t>
  </si>
  <si>
    <t>Meta de ROI (%)</t>
  </si>
  <si>
    <t>Meta de Prazo (meses)</t>
  </si>
  <si>
    <t>PARÂMETROS — SCORE DE FORNECEDORES</t>
  </si>
  <si>
    <t>Peso — Desvio de Custo</t>
  </si>
  <si>
    <t>Peso — Desvio de Prazo</t>
  </si>
  <si>
    <t>Validação (deve = 100%)</t>
  </si>
  <si>
    <t>LEGENDA DE CORES — CONVENÇÃO FINANCEIRA</t>
  </si>
  <si>
    <t>Azul = Entrada de dados (o usuário preenche)</t>
  </si>
  <si>
    <t>Verde = Fórmula com link de outra aba</t>
  </si>
  <si>
    <t>Preto = Fórmula calculada automaticamente</t>
  </si>
  <si>
    <t>Amarelo = Célula de atenção / validação</t>
  </si>
  <si>
    <t>🏠  RECEITAS — UNIDADES E CRONOGRAMA DE VENDAS</t>
  </si>
  <si>
    <t>TABELA DE UNIDADES</t>
  </si>
  <si>
    <t>TIPO DE UNIDADE</t>
  </si>
  <si>
    <t>QTD</t>
  </si>
  <si>
    <t>PREÇO UNIT. (R$)</t>
  </si>
  <si>
    <t>VGV UNITÁRIO (R$)</t>
  </si>
  <si>
    <t>% VENDIDO</t>
  </si>
  <si>
    <t>RECEITA RECEBIDA (R$)</t>
  </si>
  <si>
    <t>Studio (35 m²)</t>
  </si>
  <si>
    <t>2 Quartos (65 m²)</t>
  </si>
  <si>
    <t>3 Quartos (90 m²)</t>
  </si>
  <si>
    <t>Cobertura (120 m²)</t>
  </si>
  <si>
    <t>TOTAL</t>
  </si>
  <si>
    <t>RESUMO FINANCEIRO DE RECEITAS</t>
  </si>
  <si>
    <t>VGV Total (todas as unidades)</t>
  </si>
  <si>
    <t>Receita já comprometida (vendas realizadas)</t>
  </si>
  <si>
    <t>% do VGV vendido</t>
  </si>
  <si>
    <t>Receita a realizar (unidades disponíveis)</t>
  </si>
  <si>
    <t>CRONOGRAMA DE RECEBIMENTOS (R$)</t>
  </si>
  <si>
    <t>TIPO</t>
  </si>
  <si>
    <t>Sinal (Entrada)</t>
  </si>
  <si>
    <t>Parcelas Obra</t>
  </si>
  <si>
    <t>Financ. Banco</t>
  </si>
  <si>
    <t>Chaves</t>
  </si>
  <si>
    <t>💰  CUSTOS — ORÇADO vs. REALIZADO</t>
  </si>
  <si>
    <t>Preencha as colunas Orçado (azul) e Realizado (azul). Desvios são calculados automaticamente.</t>
  </si>
  <si>
    <t>Fonte: atualize os valores realizados mensalmente conforme contratos e medições de obra.</t>
  </si>
  <si>
    <t>📅  CRONOGRAMA — PRAZO PLANEJADO vs. REALIZADO</t>
  </si>
  <si>
    <t>Preencha a Data Real conforme a fase for concluída. O desvio e status são calculados automaticamente.</t>
  </si>
  <si>
    <t>FASE DO EMPREENDIMENTO</t>
  </si>
  <si>
    <t>DATA PLANEJADA</t>
  </si>
  <si>
    <t>DATA REAL</t>
  </si>
  <si>
    <t>DESVIO (dias)</t>
  </si>
  <si>
    <t>RESUMO DE PRAZO</t>
  </si>
  <si>
    <t>Início Planejado</t>
  </si>
  <si>
    <t>Entrega Planejada</t>
  </si>
  <si>
    <t>Prazo Total Planejado (dias)</t>
  </si>
  <si>
    <t>Prazo Total Realizado (dias)</t>
  </si>
  <si>
    <t>Desvio Total (dias)</t>
  </si>
  <si>
    <t>🏗️  FORNECEDORES — SCORE DE RISCO (CUSTO + PRAZO)</t>
  </si>
  <si>
    <t>Pesos: Custo = CONFIG!C20  |  Prazo = CONFIG!C21  |  Score = (Desv. Custo% × Peso) + (Desv. Prazo% × Peso) × 100</t>
  </si>
  <si>
    <t>VALOR ORÇADO</t>
  </si>
  <si>
    <t>VALOR REALIZADO</t>
  </si>
  <si>
    <t>PRAZO PREV.(dias)</t>
  </si>
  <si>
    <t>PRAZO REAL(dias)</t>
  </si>
  <si>
    <t>Construtora ABC</t>
  </si>
  <si>
    <t>Inst. Elétrica Ltda</t>
  </si>
  <si>
    <t>Inst. Hidráulica SP</t>
  </si>
  <si>
    <t>Escritório Arq. XYZ</t>
  </si>
  <si>
    <t>Projetos</t>
  </si>
  <si>
    <t>Topografia &amp; Sondagem</t>
  </si>
  <si>
    <t>Agência Digital</t>
  </si>
  <si>
    <t>Corretora SP Imóveis</t>
  </si>
  <si>
    <t>Banco CEF</t>
  </si>
  <si>
    <t>Financeiro</t>
  </si>
  <si>
    <t>Assessoria Jurídica</t>
  </si>
  <si>
    <t>Aprovações</t>
  </si>
  <si>
    <t>Gráfica &amp; Comunicação</t>
  </si>
  <si>
    <t>📊  DESEMBOLSO — CURVA MENSAL DE SAÍDA DE CAIXA (R$)</t>
  </si>
  <si>
    <t>Insira os valores mensais de desembolso por categoria. Totais e acumulado são calculados automaticamente.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</si>
  <si>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</si>
  <si>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</si>
  <si>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</si>
  <si>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</si>
  <si>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</si>
  <si>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</si>
  <si>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</si>
  <si>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</si>
  <si>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</si>
  <si>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</si>
  <si>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</si>
  <si>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</si>
  <si>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</si>
  <si>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</si>
  <si>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</si>
  <si>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</si>
  <si>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</si>
  <si>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</si>
  <si>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</si>
  <si>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</si>
  <si>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</si>
  <si>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</si>
  <si>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</si>
  <si>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</si>
  <si>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</si>
  <si>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</si>
  <si>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</si>
  <si>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</si>
  <si>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</si>
  <si>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</si>
  <si>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</si>
  <si>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</si>
  <si>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</si>
  <si>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</si>
  <si>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</si>
  <si>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</si>
  <si>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TOTAL MENSAL</t>
  </si>
  <si>
    <t>ACUMULADO</t>
  </si>
  <si>
    <t>MÊS ATUAL (✔)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</si>
</sst>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_-;&quot;(R$ &quot;#,##0\)"/>
    <numFmt numFmtId="165" formatCode="0.0%_-;\(0.0%\);\-"/>
    <numFmt numFmtId="166" formatCode="#,##0_-;\(#,##0\);\-"/>
    <numFmt numFmtId="167" formatCode="#,##0&quot; d&quot;_-;\(#,##0&quot; d)&quot;;\-"/>
    <numFmt numFmtId="168" formatCode="&quot;▶ &quot;0.0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008000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10"/>
      <color rgb="FF008000"/>
      <name val="Arial"/>
      <charset val="1"/>
    </font>
    <font>
      <sz val="9"/>
      <color rgb="FF595959"/>
      <name val="Arial"/>
      <charset val="1"/>
    </font>
    <font>
      <sz val="9"/>
      <color rgb="FF008000"/>
      <name val="Arial"/>
      <charset val="1"/>
    </font>
    <font>
      <sz val="10"/>
      <color rgb="FF000000"/>
      <name val="Arial"/>
      <charset val="1"/>
    </font>
    <font>
      <sz val="10"/>
      <color rgb="FFFFFFFF"/>
      <name val="Arial"/>
      <charset val="1"/>
    </font>
    <font>
      <b/>
      <sz val="10"/>
      <color rgb="FF000000"/>
      <name val="Arial"/>
      <charset val="1"/>
    </font>
    <font>
      <i/>
      <sz val="9"/>
      <color rgb="FF1F3864"/>
      <name val="Arial"/>
      <charset val="1"/>
    </font>
    <font>
      <b/>
      <sz val="14"/>
      <color rgb="FF1F3864"/>
      <name val="Arial"/>
      <charset val="1"/>
    </font>
    <font>
      <sz val="10"/>
      <color rgb="FF0000FF"/>
      <name val="Arial"/>
      <charset val="1"/>
    </font>
    <font>
      <b/>
      <i/>
      <sz val="9"/>
      <color rgb="FF000000"/>
      <name val="Arial"/>
      <charset val="1"/>
    </font>
    <font>
      <i/>
      <sz val="9"/>
      <color rgb="FF0000FF"/>
      <name val="Arial"/>
      <charset val="1"/>
    </font>
    <font>
      <i/>
      <sz val="9"/>
      <color rgb="FF008000"/>
      <name val="Arial"/>
      <charset val="1"/>
    </font>
    <font>
      <i/>
      <sz val="9"/>
      <color rgb="FF000000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i/>
      <sz val="8"/>
      <color rgb="FF595959"/>
      <name val="Arial"/>
      <charset val="1"/>
    </font>
    <font>
      <b/>
      <sz val="8"/>
      <color rgb="FFFFFFFF"/>
      <name val="Arial"/>
      <charset val="1"/>
    </font>
    <font>
      <b/>
      <sz val="9"/>
      <color rgb="FF000000"/>
      <name val="Arial"/>
      <charset val="1"/>
    </font>
    <font>
      <sz val="10"/>
      <color rgb="FFE26B0A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347A8D"/>
      </patternFill>
    </fill>
    <fill>
      <patternFill patternType="solid">
        <fgColor rgb="FFF2F2F2"/>
        <bgColor rgb="FFEBF3FB"/>
      </patternFill>
    </fill>
    <fill>
      <patternFill patternType="solid">
        <fgColor rgb="FF70AD47"/>
        <bgColor rgb="FF839E4B"/>
      </patternFill>
    </fill>
    <fill>
      <patternFill patternType="solid">
        <fgColor rgb="FF375623"/>
        <bgColor rgb="FF595959"/>
      </patternFill>
    </fill>
    <fill>
      <patternFill patternType="solid">
        <fgColor rgb="FFFFFFFF"/>
        <bgColor rgb="FFF9F9F9"/>
      </patternFill>
    </fill>
    <fill>
      <patternFill patternType="solid">
        <fgColor rgb="FFC00000"/>
        <bgColor rgb="FF883836"/>
      </patternFill>
    </fill>
    <fill>
      <patternFill patternType="solid">
        <fgColor rgb="FFE26B0A"/>
        <bgColor rgb="FFC97A38"/>
      </patternFill>
    </fill>
    <fill>
      <patternFill patternType="solid">
        <fgColor rgb="FFBDD7EE"/>
        <bgColor rgb="FFC9DAE4"/>
      </patternFill>
    </fill>
    <fill>
      <patternFill patternType="solid">
        <fgColor rgb="FFEBF3FB"/>
        <bgColor rgb="FFF2F2F2"/>
      </patternFill>
    </fill>
    <fill>
      <patternFill patternType="solid">
        <fgColor rgb="FFFFFACD"/>
        <bgColor rgb="FFF9F9F9"/>
      </patternFill>
    </fill>
    <fill>
      <patternFill patternType="solid">
        <fgColor rgb="FF595959"/>
        <bgColor rgb="FF5B477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9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5" fillId="13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165" fontId="9" fillId="4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right" vertical="center"/>
    </xf>
    <xf numFmtId="166" fontId="9" fillId="4" borderId="1" xfId="0" applyNumberFormat="1" applyFont="1" applyFill="1" applyBorder="1" applyAlignment="1">
      <alignment horizontal="right" vertical="center"/>
    </xf>
    <xf numFmtId="164" fontId="10" fillId="7" borderId="1" xfId="0" applyNumberFormat="1" applyFont="1" applyFill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/>
    </xf>
    <xf numFmtId="165" fontId="11" fillId="2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right" vertical="center"/>
    </xf>
    <xf numFmtId="167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right" vertical="center"/>
    </xf>
    <xf numFmtId="167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0" fillId="0" borderId="2" xfId="0" applyBorder="1"/>
    <xf numFmtId="167" fontId="7" fillId="3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166" fontId="12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68" fontId="7" fillId="4" borderId="1" xfId="0" applyNumberFormat="1" applyFont="1" applyFill="1" applyBorder="1" applyAlignment="1">
      <alignment horizontal="right" vertical="center"/>
    </xf>
    <xf numFmtId="166" fontId="12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8" fontId="7" fillId="7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right" vertical="center"/>
    </xf>
    <xf numFmtId="14" fontId="15" fillId="11" borderId="1" xfId="0" applyNumberFormat="1" applyFont="1" applyFill="1" applyBorder="1" applyAlignment="1">
      <alignment horizontal="right" vertical="center"/>
    </xf>
    <xf numFmtId="166" fontId="15" fillId="11" borderId="1" xfId="0" applyNumberFormat="1" applyFont="1" applyFill="1" applyBorder="1" applyAlignment="1">
      <alignment horizontal="right" vertical="center"/>
    </xf>
    <xf numFmtId="164" fontId="15" fillId="11" borderId="1" xfId="0" applyNumberFormat="1" applyFont="1" applyFill="1" applyBorder="1" applyAlignment="1">
      <alignment horizontal="right" vertical="center"/>
    </xf>
    <xf numFmtId="165" fontId="15" fillId="11" borderId="1" xfId="0" applyNumberFormat="1" applyFont="1" applyFill="1" applyBorder="1" applyAlignment="1">
      <alignment horizontal="right" vertical="center"/>
    </xf>
    <xf numFmtId="0" fontId="16" fillId="12" borderId="1" xfId="0" applyFont="1" applyFill="1" applyBorder="1" applyAlignment="1">
      <alignment horizontal="left" vertical="center"/>
    </xf>
    <xf numFmtId="165" fontId="10" fillId="12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166" fontId="11" fillId="3" borderId="3" xfId="0" applyNumberFormat="1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left" vertical="center"/>
    </xf>
    <xf numFmtId="164" fontId="11" fillId="3" borderId="3" xfId="0" applyNumberFormat="1" applyFont="1" applyFill="1" applyBorder="1" applyAlignment="1">
      <alignment horizontal="right" vertical="center"/>
    </xf>
    <xf numFmtId="165" fontId="11" fillId="3" borderId="3" xfId="0" applyNumberFormat="1" applyFont="1" applyFill="1" applyBorder="1" applyAlignment="1">
      <alignment horizontal="right" vertical="center"/>
    </xf>
    <xf numFmtId="0" fontId="0" fillId="0" borderId="1" xfId="0" applyBorder="1"/>
    <xf numFmtId="0" fontId="4" fillId="6" borderId="3" xfId="0" applyFont="1" applyFill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167" fontId="10" fillId="7" borderId="1" xfId="0" applyNumberFormat="1" applyFont="1" applyFill="1" applyBorder="1" applyAlignment="1">
      <alignment horizontal="right" vertical="center"/>
    </xf>
    <xf numFmtId="167" fontId="10" fillId="4" borderId="1" xfId="0" applyNumberFormat="1" applyFont="1" applyFill="1" applyBorder="1" applyAlignment="1">
      <alignment horizontal="right" vertical="center"/>
    </xf>
    <xf numFmtId="168" fontId="10" fillId="7" borderId="1" xfId="0" applyNumberFormat="1" applyFont="1" applyFill="1" applyBorder="1" applyAlignment="1">
      <alignment horizontal="right" vertical="center"/>
    </xf>
    <xf numFmtId="166" fontId="10" fillId="7" borderId="1" xfId="0" applyNumberFormat="1" applyFont="1" applyFill="1" applyBorder="1" applyAlignment="1">
      <alignment horizontal="center" vertical="center"/>
    </xf>
    <xf numFmtId="168" fontId="10" fillId="4" borderId="1" xfId="0" applyNumberFormat="1" applyFont="1" applyFill="1" applyBorder="1" applyAlignment="1">
      <alignment horizontal="right" vertical="center"/>
    </xf>
    <xf numFmtId="166" fontId="10" fillId="4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164" fontId="11" fillId="3" borderId="2" xfId="0" applyNumberFormat="1" applyFont="1" applyFill="1" applyBorder="1" applyAlignment="1">
      <alignment horizontal="right" vertical="center"/>
    </xf>
    <xf numFmtId="0" fontId="24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25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18">
    <dxf>
      <font>
        <b/>
        <color rgb="FF375623"/>
      </font>
      <fill>
        <patternFill>
          <bgColor rgb="FFE2EFDA"/>
        </patternFill>
      </fill>
    </dxf>
    <dxf>
      <font>
        <b/>
        <color rgb="FFE26B0A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E26B0A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E26B0A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E26B0A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E26B0A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FCCCC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E26B0A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70AD47"/>
      <rgbColor rgb="FF0000FF"/>
      <rgbColor rgb="FFCAD9B4"/>
      <rgbColor rgb="FFC97A38"/>
      <rgbColor rgb="FFC9DAE4"/>
      <rgbColor rgb="FFA7652F"/>
      <rgbColor rgb="FF008000"/>
      <rgbColor rgb="FFFFCCCC"/>
      <rgbColor rgb="FF6E853E"/>
      <rgbColor rgb="FFB14A47"/>
      <rgbColor rgb="FF347A8D"/>
      <rgbColor rgb="FFBFBFBF"/>
      <rgbColor rgb="FF8C8792"/>
      <rgbColor rgb="FFB1B4D0"/>
      <rgbColor rgb="FF9C413E"/>
      <rgbColor rgb="FFFFFACD"/>
      <rgbColor rgb="FFEBF3FB"/>
      <rgbColor rgb="FF8066A0"/>
      <rgbColor rgb="FFF4944A"/>
      <rgbColor rgb="FF3D6593"/>
      <rgbColor rgb="FFBDD7EE"/>
      <rgbColor rgb="FFF9F9F9"/>
      <rgbColor rgb="FFD7823D"/>
      <rgbColor rgb="FFB2CA8E"/>
      <rgbColor rgb="FF8FAD52"/>
      <rgbColor rgb="FFBE5451"/>
      <rgbColor rgb="FFB97034"/>
      <rgbColor rgb="FF4977AF"/>
      <rgbColor rgb="FFD8DCD7"/>
      <rgbColor rgb="FF88BFD2"/>
      <rgbColor rgb="FFF2F2F2"/>
      <rgbColor rgb="FFE2EFDA"/>
      <rgbColor rgb="FFFCE4D6"/>
      <rgbColor rgb="FFB1CADB"/>
      <rgbColor rgb="FFDBB1B1"/>
      <rgbColor rgb="FFCD8A89"/>
      <rgbColor rgb="FFF4C8BD"/>
      <rgbColor rgb="FF2E75B6"/>
      <rgbColor rgb="FF4BA5C1"/>
      <rgbColor rgb="FF9AB85B"/>
      <rgbColor rgb="FFF5AE86"/>
      <rgbColor rgb="FFE48A40"/>
      <rgbColor rgb="FFE26B0A"/>
      <rgbColor rgb="FF6F578D"/>
      <rgbColor rgb="FF95A1C8"/>
      <rgbColor rgb="FF1F3864"/>
      <rgbColor rgb="FF3E91A7"/>
      <rgbColor rgb="FF839E4B"/>
      <rgbColor rgb="FF595959"/>
      <rgbColor rgb="FFA74543"/>
      <rgbColor rgb="FF883836"/>
      <rgbColor rgb="FF5B4773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Desembolso Mensal vs.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Desembolso Mensal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DESEMBOLSO!$C$12</c:f>
              <c:numCache>
                <c:formatCode>"R$ "#,##0_-;"(R$ "#,##0\)</c:formatCode>
                <c:ptCount val="1"/>
                <c:pt idx="0">
                  <c:v>2610000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A-4DEE-8150-05E8E8C49CF8}"/>
            </c:ext>
          </c:extLst>
        </c:ser>
        <c:ser>
          <c:idx val="1"/>
          <c:order val="1"/>
          <c:spPr>
            <a:solidFill>
              <a:srgbClr val="8136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DESEMBOLSO!$D$12</c:f>
              <c:numCache>
                <c:formatCode>"R$ "#,##0_-;"(R$ "#,##0\)</c:formatCode>
                <c:ptCount val="1"/>
                <c:pt idx="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A-4DEE-8150-05E8E8C49CF8}"/>
            </c:ext>
          </c:extLst>
        </c:ser>
        <c:ser>
          <c:idx val="2"/>
          <c:order val="2"/>
          <c:spPr>
            <a:solidFill>
              <a:srgbClr val="687E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DESEMBOLSO!$E$12</c:f>
              <c:numCache>
                <c:formatCode>"R$ "#,##0_-;"(R$ "#,##0\)</c:formatCode>
                <c:ptCount val="1"/>
                <c:pt idx="0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A-4DEE-8150-05E8E8C49CF8}"/>
            </c:ext>
          </c:extLst>
        </c:ser>
        <c:ser>
          <c:idx val="3"/>
          <c:order val="3"/>
          <c:spPr>
            <a:solidFill>
              <a:srgbClr val="56436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DESEMBOLSO!$F$12</c:f>
              <c:numCache>
                <c:formatCode>"R$ "#,##0_-;"(R$ "#,##0\)</c:formatCode>
                <c:ptCount val="1"/>
                <c:pt idx="0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FA-4DEE-8150-05E8E8C49CF8}"/>
            </c:ext>
          </c:extLst>
        </c:ser>
        <c:ser>
          <c:idx val="4"/>
          <c:order val="4"/>
          <c:spPr>
            <a:solidFill>
              <a:srgbClr val="32748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DESEMBOLSO!$G$12</c:f>
              <c:numCache>
                <c:formatCode>"R$ "#,##0_-;"(R$ "#,##0\)</c:formatCode>
                <c:ptCount val="1"/>
                <c:pt idx="0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FA-4DEE-8150-05E8E8C49CF8}"/>
            </c:ext>
          </c:extLst>
        </c:ser>
        <c:ser>
          <c:idx val="5"/>
          <c:order val="5"/>
          <c:spPr>
            <a:solidFill>
              <a:srgbClr val="A7652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DESEMBOLSO!$H$12</c:f>
              <c:numCache>
                <c:formatCode>"R$ "#,##0_-;"(R$ "#,##0\)</c:formatCode>
                <c:ptCount val="1"/>
                <c:pt idx="0">
                  <c:v>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FA-4DEE-8150-05E8E8C49CF8}"/>
            </c:ext>
          </c:extLst>
        </c:ser>
        <c:ser>
          <c:idx val="6"/>
          <c:order val="6"/>
          <c:spPr>
            <a:solidFill>
              <a:srgbClr val="3B60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DESEMBOLSO!$I$12</c:f>
              <c:numCache>
                <c:formatCode>"R$ "#,##0_-;"(R$ "#,##0\)</c:formatCode>
                <c:ptCount val="1"/>
                <c:pt idx="0">
                  <c:v>535000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FA-4DEE-8150-05E8E8C49CF8}"/>
            </c:ext>
          </c:extLst>
        </c:ser>
        <c:ser>
          <c:idx val="7"/>
          <c:order val="7"/>
          <c:spPr>
            <a:solidFill>
              <a:srgbClr val="8F3B3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DESEMBOLSO!$J$12</c:f>
              <c:numCache>
                <c:formatCode>"R$ "#,##0_-;"(R$ "#,##0\)</c:formatCode>
                <c:ptCount val="1"/>
                <c:pt idx="0">
                  <c:v>525000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FA-4DEE-8150-05E8E8C49CF8}"/>
            </c:ext>
          </c:extLst>
        </c:ser>
        <c:ser>
          <c:idx val="8"/>
          <c:order val="8"/>
          <c:spPr>
            <a:solidFill>
              <a:srgbClr val="748C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DESEMBOLSO!$K$12</c:f>
              <c:numCache>
                <c:formatCode>"R$ "#,##0_-;"(R$ "#,##0\)</c:formatCode>
                <c:ptCount val="1"/>
                <c:pt idx="0">
                  <c:v>495000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FA-4DEE-8150-05E8E8C49CF8}"/>
            </c:ext>
          </c:extLst>
        </c:ser>
        <c:ser>
          <c:idx val="9"/>
          <c:order val="9"/>
          <c:spPr>
            <a:solidFill>
              <a:srgbClr val="5F4A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DESEMBOLSO!$L$12</c:f>
              <c:numCache>
                <c:formatCode>"R$ "#,##0_-;"(R$ "#,##0\)</c:formatCode>
                <c:ptCount val="1"/>
                <c:pt idx="0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FA-4DEE-8150-05E8E8C49CF8}"/>
            </c:ext>
          </c:extLst>
        </c:ser>
        <c:ser>
          <c:idx val="10"/>
          <c:order val="10"/>
          <c:spPr>
            <a:solidFill>
              <a:srgbClr val="38809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DESEMBOLSO!$M$12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FA-4DEE-8150-05E8E8C49CF8}"/>
            </c:ext>
          </c:extLst>
        </c:ser>
        <c:ser>
          <c:idx val="11"/>
          <c:order val="11"/>
          <c:spPr>
            <a:solidFill>
              <a:srgbClr val="B970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DESEMBOLSO!$N$12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FA-4DEE-8150-05E8E8C49CF8}"/>
            </c:ext>
          </c:extLst>
        </c:ser>
        <c:ser>
          <c:idx val="12"/>
          <c:order val="12"/>
          <c:spPr>
            <a:solidFill>
              <a:srgbClr val="40699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DESEMBOLSO!$O$12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FA-4DEE-8150-05E8E8C49CF8}"/>
            </c:ext>
          </c:extLst>
        </c:ser>
        <c:ser>
          <c:idx val="13"/>
          <c:order val="13"/>
          <c:spPr>
            <a:solidFill>
              <a:srgbClr val="9C41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DESEMBOLSO!$P$12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1FA-4DEE-8150-05E8E8C49CF8}"/>
            </c:ext>
          </c:extLst>
        </c:ser>
        <c:ser>
          <c:idx val="14"/>
          <c:order val="14"/>
          <c:spPr>
            <a:solidFill>
              <a:srgbClr val="7E98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DESEMBOLSO!$Q$12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1FA-4DEE-8150-05E8E8C49CF8}"/>
            </c:ext>
          </c:extLst>
        </c:ser>
        <c:ser>
          <c:idx val="15"/>
          <c:order val="15"/>
          <c:spPr>
            <a:solidFill>
              <a:srgbClr val="6851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DESEMBOLSO!$R$12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1FA-4DEE-8150-05E8E8C49CF8}"/>
            </c:ext>
          </c:extLst>
        </c:ser>
        <c:ser>
          <c:idx val="16"/>
          <c:order val="16"/>
          <c:spPr>
            <a:solidFill>
              <a:srgbClr val="3D8CA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DESEMBOLSO!$S$12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1FA-4DEE-8150-05E8E8C49CF8}"/>
            </c:ext>
          </c:extLst>
        </c:ser>
        <c:ser>
          <c:idx val="17"/>
          <c:order val="17"/>
          <c:spPr>
            <a:solidFill>
              <a:srgbClr val="C97A3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DESEMBOLSO!$T$12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1FA-4DEE-8150-05E8E8C49CF8}"/>
            </c:ext>
          </c:extLst>
        </c:ser>
        <c:ser>
          <c:idx val="18"/>
          <c:order val="18"/>
          <c:spPr>
            <a:solidFill>
              <a:srgbClr val="4470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DESEMBOLSO!$U$12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1FA-4DEE-8150-05E8E8C49CF8}"/>
            </c:ext>
          </c:extLst>
        </c:ser>
        <c:ser>
          <c:idx val="19"/>
          <c:order val="19"/>
          <c:spPr>
            <a:solidFill>
              <a:srgbClr val="A7454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DESEMBOLSO!$V$12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1FA-4DEE-8150-05E8E8C49CF8}"/>
            </c:ext>
          </c:extLst>
        </c:ser>
        <c:ser>
          <c:idx val="20"/>
          <c:order val="20"/>
          <c:spPr>
            <a:solidFill>
              <a:srgbClr val="87A3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DESEMBOLSO!$W$12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1FA-4DEE-8150-05E8E8C49CF8}"/>
            </c:ext>
          </c:extLst>
        </c:ser>
        <c:ser>
          <c:idx val="21"/>
          <c:order val="21"/>
          <c:spPr>
            <a:solidFill>
              <a:srgbClr val="6F57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DESEMBOLSO!$X$12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1FA-4DEE-8150-05E8E8C49CF8}"/>
            </c:ext>
          </c:extLst>
        </c:ser>
        <c:ser>
          <c:idx val="22"/>
          <c:order val="22"/>
          <c:spPr>
            <a:solidFill>
              <a:srgbClr val="4196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DESEMBOLSO!$Y$12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1FA-4DEE-8150-05E8E8C49CF8}"/>
            </c:ext>
          </c:extLst>
        </c:ser>
        <c:ser>
          <c:idx val="23"/>
          <c:order val="23"/>
          <c:spPr>
            <a:solidFill>
              <a:srgbClr val="D7823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DESEMBOLSO!$Z$12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1FA-4DEE-8150-05E8E8C49CF8}"/>
            </c:ext>
          </c:extLst>
        </c:ser>
        <c:ser>
          <c:idx val="24"/>
          <c:order val="24"/>
          <c:spPr>
            <a:solidFill>
              <a:srgbClr val="4977A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DESEMBOLSO!$AA$12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FA-4DEE-8150-05E8E8C49CF8}"/>
            </c:ext>
          </c:extLst>
        </c:ser>
        <c:ser>
          <c:idx val="25"/>
          <c:order val="25"/>
          <c:spPr>
            <a:solidFill>
              <a:srgbClr val="B14A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DESEMBOLSO!$AB$12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1FA-4DEE-8150-05E8E8C49CF8}"/>
            </c:ext>
          </c:extLst>
        </c:ser>
        <c:ser>
          <c:idx val="26"/>
          <c:order val="26"/>
          <c:spPr>
            <a:solidFill>
              <a:srgbClr val="8FAD5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DESEMBOLSO!$AC$12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1FA-4DEE-8150-05E8E8C49CF8}"/>
            </c:ext>
          </c:extLst>
        </c:ser>
        <c:ser>
          <c:idx val="27"/>
          <c:order val="27"/>
          <c:spPr>
            <a:solidFill>
              <a:srgbClr val="765C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DESEMBOLSO!$AD$12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1FA-4DEE-8150-05E8E8C49CF8}"/>
            </c:ext>
          </c:extLst>
        </c:ser>
        <c:ser>
          <c:idx val="28"/>
          <c:order val="28"/>
          <c:spPr>
            <a:solidFill>
              <a:srgbClr val="459F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DESEMBOLSO!$AE$12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1FA-4DEE-8150-05E8E8C49CF8}"/>
            </c:ext>
          </c:extLst>
        </c:ser>
        <c:ser>
          <c:idx val="29"/>
          <c:order val="29"/>
          <c:spPr>
            <a:solidFill>
              <a:srgbClr val="E48A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DESEMBOLSO!$AF$12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1FA-4DEE-8150-05E8E8C49CF8}"/>
            </c:ext>
          </c:extLst>
        </c:ser>
        <c:ser>
          <c:idx val="30"/>
          <c:order val="30"/>
          <c:spPr>
            <a:solidFill>
              <a:srgbClr val="4D7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DESEMBOLSO!$AG$12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1FA-4DEE-8150-05E8E8C49CF8}"/>
            </c:ext>
          </c:extLst>
        </c:ser>
        <c:ser>
          <c:idx val="31"/>
          <c:order val="31"/>
          <c:spPr>
            <a:solidFill>
              <a:srgbClr val="BB4E4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DESEMBOLSO!$AH$12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1FA-4DEE-8150-05E8E8C49CF8}"/>
            </c:ext>
          </c:extLst>
        </c:ser>
        <c:ser>
          <c:idx val="32"/>
          <c:order val="32"/>
          <c:spPr>
            <a:solidFill>
              <a:srgbClr val="97B65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DESEMBOLSO!$AI$12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1FA-4DEE-8150-05E8E8C49CF8}"/>
            </c:ext>
          </c:extLst>
        </c:ser>
        <c:ser>
          <c:idx val="33"/>
          <c:order val="33"/>
          <c:spPr>
            <a:solidFill>
              <a:srgbClr val="7C619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DESEMBOLSO!$AJ$12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1FA-4DEE-8150-05E8E8C49CF8}"/>
            </c:ext>
          </c:extLst>
        </c:ser>
        <c:ser>
          <c:idx val="34"/>
          <c:order val="34"/>
          <c:spPr>
            <a:solidFill>
              <a:srgbClr val="49A7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DESEMBOLSO!$AK$12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1FA-4DEE-8150-05E8E8C49CF8}"/>
            </c:ext>
          </c:extLst>
        </c:ser>
        <c:ser>
          <c:idx val="35"/>
          <c:order val="35"/>
          <c:spPr>
            <a:solidFill>
              <a:srgbClr val="F192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val>
            <c:numRef>
              <c:f>DESEMBOLSO!$AL$12</c:f>
              <c:numCache>
                <c:formatCode>"R$ "#,##0_-;"(R$ 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1FA-4DEE-8150-05E8E8C49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7598"/>
        <c:axId val="87473488"/>
      </c:barChart>
      <c:lineChart>
        <c:grouping val="standard"/>
        <c:varyColors val="0"/>
        <c:ser>
          <c:idx val="36"/>
          <c:order val="36"/>
          <c:tx>
            <c:v>Acumulado</c:v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DESEMBOLSO!$C$13</c:f>
              <c:numCache>
                <c:formatCode>"R$ "#,##0_-;"(R$ "#,##0\)</c:formatCode>
                <c:ptCount val="1"/>
                <c:pt idx="0">
                  <c:v>2610000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51FA-4DEE-8150-05E8E8C49CF8}"/>
            </c:ext>
          </c:extLst>
        </c:ser>
        <c:ser>
          <c:idx val="37"/>
          <c:order val="37"/>
          <c:spPr>
            <a:ln w="4752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DESEMBOLSO!$D$13</c:f>
              <c:numCache>
                <c:formatCode>"R$ "#,##0_-;"(R$ "#,##0\)</c:formatCode>
                <c:ptCount val="1"/>
                <c:pt idx="0">
                  <c:v>2730000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51FA-4DEE-8150-05E8E8C49CF8}"/>
            </c:ext>
          </c:extLst>
        </c:ser>
        <c:ser>
          <c:idx val="38"/>
          <c:order val="38"/>
          <c:spPr>
            <a:ln w="47520">
              <a:solidFill>
                <a:srgbClr val="9FBC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DESEMBOLSO!$E$13</c:f>
              <c:numCache>
                <c:formatCode>"R$ "#,##0_-;"(R$ "#,##0\)</c:formatCode>
                <c:ptCount val="1"/>
                <c:pt idx="0">
                  <c:v>2900000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51FA-4DEE-8150-05E8E8C49CF8}"/>
            </c:ext>
          </c:extLst>
        </c:ser>
        <c:ser>
          <c:idx val="39"/>
          <c:order val="39"/>
          <c:spPr>
            <a:ln w="47520">
              <a:solidFill>
                <a:srgbClr val="8770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DESEMBOLSO!$F$13</c:f>
              <c:numCache>
                <c:formatCode>"R$ "#,##0_-;"(R$ "#,##0\)</c:formatCode>
                <c:ptCount val="1"/>
                <c:pt idx="0">
                  <c:v>3030000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51FA-4DEE-8150-05E8E8C49CF8}"/>
            </c:ext>
          </c:extLst>
        </c:ser>
        <c:ser>
          <c:idx val="40"/>
          <c:order val="40"/>
          <c:spPr>
            <a:ln w="47520">
              <a:solidFill>
                <a:srgbClr val="5BAEC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DESEMBOLSO!$G$13</c:f>
              <c:numCache>
                <c:formatCode>"R$ "#,##0_-;"(R$ "#,##0\)</c:formatCode>
                <c:ptCount val="1"/>
                <c:pt idx="0">
                  <c:v>3330000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51FA-4DEE-8150-05E8E8C49CF8}"/>
            </c:ext>
          </c:extLst>
        </c:ser>
        <c:ser>
          <c:idx val="41"/>
          <c:order val="41"/>
          <c:spPr>
            <a:ln w="47520">
              <a:solidFill>
                <a:srgbClr val="F5995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DESEMBOLSO!$H$13</c:f>
              <c:numCache>
                <c:formatCode>"R$ "#,##0_-;"(R$ "#,##0\)</c:formatCode>
                <c:ptCount val="1"/>
                <c:pt idx="0">
                  <c:v>3705000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51FA-4DEE-8150-05E8E8C49CF8}"/>
            </c:ext>
          </c:extLst>
        </c:ser>
        <c:ser>
          <c:idx val="42"/>
          <c:order val="42"/>
          <c:spPr>
            <a:ln w="47520">
              <a:solidFill>
                <a:srgbClr val="7E9AC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DESEMBOLSO!$I$13</c:f>
              <c:numCache>
                <c:formatCode>"R$ "#,##0_-;"(R$ "#,##0\)</c:formatCode>
                <c:ptCount val="1"/>
                <c:pt idx="0">
                  <c:v>4240000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51FA-4DEE-8150-05E8E8C49CF8}"/>
            </c:ext>
          </c:extLst>
        </c:ser>
        <c:ser>
          <c:idx val="43"/>
          <c:order val="43"/>
          <c:spPr>
            <a:ln w="4752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DESEMBOLSO!$J$13</c:f>
              <c:numCache>
                <c:formatCode>"R$ "#,##0_-;"(R$ "#,##0\)</c:formatCode>
                <c:ptCount val="1"/>
                <c:pt idx="0">
                  <c:v>4765000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51FA-4DEE-8150-05E8E8C49CF8}"/>
            </c:ext>
          </c:extLst>
        </c:ser>
        <c:ser>
          <c:idx val="44"/>
          <c:order val="44"/>
          <c:spPr>
            <a:ln w="47520">
              <a:solidFill>
                <a:srgbClr val="ACC5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DESEMBOLSO!$K$13</c:f>
              <c:numCache>
                <c:formatCode>"R$ "#,##0_-;"(R$ "#,##0\)</c:formatCode>
                <c:ptCount val="1"/>
                <c:pt idx="0">
                  <c:v>5260000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51FA-4DEE-8150-05E8E8C49CF8}"/>
            </c:ext>
          </c:extLst>
        </c:ser>
        <c:ser>
          <c:idx val="45"/>
          <c:order val="45"/>
          <c:spPr>
            <a:ln w="47520">
              <a:solidFill>
                <a:srgbClr val="9A88B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DESEMBOLSO!$L$13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51FA-4DEE-8150-05E8E8C49CF8}"/>
            </c:ext>
          </c:extLst>
        </c:ser>
        <c:ser>
          <c:idx val="46"/>
          <c:order val="46"/>
          <c:spPr>
            <a:ln w="47520">
              <a:solidFill>
                <a:srgbClr val="7CB8C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DESEMBOLSO!$M$13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51FA-4DEE-8150-05E8E8C49CF8}"/>
            </c:ext>
          </c:extLst>
        </c:ser>
        <c:ser>
          <c:idx val="47"/>
          <c:order val="47"/>
          <c:spPr>
            <a:ln w="47520">
              <a:solidFill>
                <a:srgbClr val="F5A7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DESEMBOLSO!$N$13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51FA-4DEE-8150-05E8E8C49CF8}"/>
            </c:ext>
          </c:extLst>
        </c:ser>
        <c:ser>
          <c:idx val="48"/>
          <c:order val="48"/>
          <c:spPr>
            <a:ln w="47520">
              <a:solidFill>
                <a:srgbClr val="96ABC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DESEMBOLSO!$O$13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51FA-4DEE-8150-05E8E8C49CF8}"/>
            </c:ext>
          </c:extLst>
        </c:ser>
        <c:ser>
          <c:idx val="49"/>
          <c:order val="49"/>
          <c:spPr>
            <a:ln w="4752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DESEMBOLSO!$P$13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51FA-4DEE-8150-05E8E8C49CF8}"/>
            </c:ext>
          </c:extLst>
        </c:ser>
        <c:ser>
          <c:idx val="50"/>
          <c:order val="50"/>
          <c:spPr>
            <a:ln w="47520">
              <a:solidFill>
                <a:srgbClr val="B7CC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DESEMBOLSO!$Q$13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51FA-4DEE-8150-05E8E8C49CF8}"/>
            </c:ext>
          </c:extLst>
        </c:ser>
        <c:ser>
          <c:idx val="51"/>
          <c:order val="51"/>
          <c:spPr>
            <a:ln w="47520">
              <a:solidFill>
                <a:srgbClr val="AA9DB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DESEMBOLSO!$R$13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51FA-4DEE-8150-05E8E8C49CF8}"/>
            </c:ext>
          </c:extLst>
        </c:ser>
        <c:ser>
          <c:idx val="52"/>
          <c:order val="52"/>
          <c:spPr>
            <a:ln w="47520">
              <a:solidFill>
                <a:srgbClr val="93C2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DESEMBOLSO!$S$13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51FA-4DEE-8150-05E8E8C49CF8}"/>
            </c:ext>
          </c:extLst>
        </c:ser>
        <c:ser>
          <c:idx val="53"/>
          <c:order val="53"/>
          <c:spPr>
            <a:ln w="47520">
              <a:solidFill>
                <a:srgbClr val="F5B4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DESEMBOLSO!$T$13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51FA-4DEE-8150-05E8E8C49CF8}"/>
            </c:ext>
          </c:extLst>
        </c:ser>
        <c:ser>
          <c:idx val="54"/>
          <c:order val="54"/>
          <c:spPr>
            <a:ln w="47520">
              <a:solidFill>
                <a:srgbClr val="A9B8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DESEMBOLSO!$U$13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51FA-4DEE-8150-05E8E8C49CF8}"/>
            </c:ext>
          </c:extLst>
        </c:ser>
        <c:ser>
          <c:idx val="55"/>
          <c:order val="55"/>
          <c:spPr>
            <a:ln w="4752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DESEMBOLSO!$V$13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51FA-4DEE-8150-05E8E8C49CF8}"/>
            </c:ext>
          </c:extLst>
        </c:ser>
        <c:ser>
          <c:idx val="56"/>
          <c:order val="56"/>
          <c:spPr>
            <a:ln w="47520">
              <a:solidFill>
                <a:srgbClr val="C3D3A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DESEMBOLSO!$W$13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51FA-4DEE-8150-05E8E8C49CF8}"/>
            </c:ext>
          </c:extLst>
        </c:ser>
        <c:ser>
          <c:idx val="57"/>
          <c:order val="57"/>
          <c:spPr>
            <a:ln w="47520">
              <a:solidFill>
                <a:srgbClr val="B8AFC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DESEMBOLSO!$X$13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51FA-4DEE-8150-05E8E8C49CF8}"/>
            </c:ext>
          </c:extLst>
        </c:ser>
        <c:ser>
          <c:idx val="58"/>
          <c:order val="58"/>
          <c:spPr>
            <a:ln w="47520">
              <a:solidFill>
                <a:srgbClr val="A8CCD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DESEMBOLSO!$Y$13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51FA-4DEE-8150-05E8E8C49CF8}"/>
            </c:ext>
          </c:extLst>
        </c:ser>
        <c:ser>
          <c:idx val="59"/>
          <c:order val="59"/>
          <c:spPr>
            <a:ln w="47520">
              <a:solidFill>
                <a:srgbClr val="F6C0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DESEMBOLSO!$Z$13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51FA-4DEE-8150-05E8E8C49CF8}"/>
            </c:ext>
          </c:extLst>
        </c:ser>
        <c:ser>
          <c:idx val="60"/>
          <c:order val="60"/>
          <c:spPr>
            <a:ln w="47520">
              <a:solidFill>
                <a:srgbClr val="B9C6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DESEMBOLSO!$AA$13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51FA-4DEE-8150-05E8E8C49CF8}"/>
            </c:ext>
          </c:extLst>
        </c:ser>
        <c:ser>
          <c:idx val="61"/>
          <c:order val="61"/>
          <c:spPr>
            <a:ln w="4752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DESEMBOLSO!$AB$13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51FA-4DEE-8150-05E8E8C49CF8}"/>
            </c:ext>
          </c:extLst>
        </c:ser>
        <c:ser>
          <c:idx val="62"/>
          <c:order val="62"/>
          <c:spPr>
            <a:ln w="47520">
              <a:solidFill>
                <a:srgbClr val="CEDB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DESEMBOLSO!$AC$13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51FA-4DEE-8150-05E8E8C49CF8}"/>
            </c:ext>
          </c:extLst>
        </c:ser>
        <c:ser>
          <c:idx val="63"/>
          <c:order val="63"/>
          <c:spPr>
            <a:ln w="47520">
              <a:solidFill>
                <a:srgbClr val="C5BED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DESEMBOLSO!$AD$13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51FA-4DEE-8150-05E8E8C49CF8}"/>
            </c:ext>
          </c:extLst>
        </c:ser>
        <c:ser>
          <c:idx val="64"/>
          <c:order val="64"/>
          <c:spPr>
            <a:ln w="47520">
              <a:solidFill>
                <a:srgbClr val="B9D4D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DESEMBOLSO!$AE$13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51FA-4DEE-8150-05E8E8C49CF8}"/>
            </c:ext>
          </c:extLst>
        </c:ser>
        <c:ser>
          <c:idx val="65"/>
          <c:order val="65"/>
          <c:spPr>
            <a:ln w="47520">
              <a:solidFill>
                <a:srgbClr val="F5CBB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DESEMBOLSO!$AF$13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51FA-4DEE-8150-05E8E8C49CF8}"/>
            </c:ext>
          </c:extLst>
        </c:ser>
        <c:ser>
          <c:idx val="66"/>
          <c:order val="66"/>
          <c:spPr>
            <a:ln w="47520">
              <a:solidFill>
                <a:srgbClr val="C9D2E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DESEMBOLSO!$AG$13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51FA-4DEE-8150-05E8E8C49CF8}"/>
            </c:ext>
          </c:extLst>
        </c:ser>
        <c:ser>
          <c:idx val="67"/>
          <c:order val="67"/>
          <c:spPr>
            <a:ln w="4752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DESEMBOLSO!$AH$13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51FA-4DEE-8150-05E8E8C49CF8}"/>
            </c:ext>
          </c:extLst>
        </c:ser>
        <c:ser>
          <c:idx val="68"/>
          <c:order val="68"/>
          <c:spPr>
            <a:ln w="47520">
              <a:solidFill>
                <a:srgbClr val="D8E1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DESEMBOLSO!$AI$13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51FA-4DEE-8150-05E8E8C49CF8}"/>
            </c:ext>
          </c:extLst>
        </c:ser>
        <c:ser>
          <c:idx val="69"/>
          <c:order val="69"/>
          <c:spPr>
            <a:ln w="47520">
              <a:solidFill>
                <a:srgbClr val="D2CCD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DESEMBOLSO!$AJ$13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5-51FA-4DEE-8150-05E8E8C49CF8}"/>
            </c:ext>
          </c:extLst>
        </c:ser>
        <c:ser>
          <c:idx val="70"/>
          <c:order val="70"/>
          <c:spPr>
            <a:ln w="47520">
              <a:solidFill>
                <a:srgbClr val="C8DCE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DESEMBOLSO!$AK$13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6-51FA-4DEE-8150-05E8E8C49CF8}"/>
            </c:ext>
          </c:extLst>
        </c:ser>
        <c:ser>
          <c:idx val="71"/>
          <c:order val="71"/>
          <c:spPr>
            <a:ln w="47520">
              <a:solidFill>
                <a:srgbClr val="F6D7C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DESEMBOLSO!$AL$13</c:f>
              <c:numCache>
                <c:formatCode>"R$ "#,##0_-;"(R$ "#,##0\)</c:formatCode>
                <c:ptCount val="1"/>
                <c:pt idx="0">
                  <c:v>5520000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7-51FA-4DEE-8150-05E8E8C49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687598"/>
        <c:axId val="87473488"/>
      </c:lineChart>
      <c:catAx>
        <c:axId val="20687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 do Projeto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87473488"/>
        <c:crosses val="autoZero"/>
        <c:auto val="1"/>
        <c:lblAlgn val="ctr"/>
        <c:lblOffset val="100"/>
        <c:noMultiLvlLbl val="0"/>
      </c:catAx>
      <c:valAx>
        <c:axId val="87473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_-;&quot;(R$ 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206875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9</xdr:col>
      <xdr:colOff>606555</xdr:colOff>
      <xdr:row>76</xdr:row>
      <xdr:rowOff>29520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showGridLines="0" tabSelected="1" zoomScaleNormal="100" workbookViewId="0">
      <selection sqref="A1:M1"/>
    </sheetView>
  </sheetViews>
  <sheetFormatPr defaultColWidth="8.7109375" defaultRowHeight="15" customHeight="1" x14ac:dyDescent="0.25"/>
  <cols>
    <col min="1" max="1" width="2" customWidth="1"/>
    <col min="2" max="2" width="16" customWidth="1"/>
    <col min="3" max="6" width="14" customWidth="1"/>
    <col min="7" max="7" width="13.85546875" bestFit="1" customWidth="1"/>
    <col min="8" max="12" width="14" customWidth="1"/>
    <col min="13" max="13" width="2" customWidth="1"/>
  </cols>
  <sheetData>
    <row r="1" spans="1:13" ht="36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4" customHeight="1" x14ac:dyDescent="0.25">
      <c r="A2" s="13" t="str">
        <f>CONFIG!C4</f>
        <v>Residencial Parque Verde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8" customHeight="1" x14ac:dyDescent="0.25">
      <c r="A3" s="12" t="str">
        <f ca="1">CONCATENATE("Início: ",TEXT(CONFIG!C6,"DD/MM/YYYY"),"   |   Prazo: ",TEXT(CONFIG!C7,"0")," meses   |   Atualizado em: ",TEXT(TODAY(),"DD/MM/YYYY"))</f>
        <v>Início: 01/01/YYYY   |   Prazo: 30 meses   |   Atualizado em: 29/03/YYYY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6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21.75" customHeight="1" x14ac:dyDescent="0.25">
      <c r="B5" s="10" t="s">
        <v>1</v>
      </c>
      <c r="C5" s="10"/>
      <c r="D5" s="10"/>
      <c r="E5" s="10"/>
      <c r="F5" s="10"/>
      <c r="H5" s="9" t="s">
        <v>2</v>
      </c>
      <c r="I5" s="9"/>
      <c r="J5" s="9"/>
      <c r="K5" s="9"/>
      <c r="L5" s="9"/>
    </row>
    <row r="6" spans="1:13" ht="18" customHeight="1" x14ac:dyDescent="0.25">
      <c r="B6" s="15" t="s">
        <v>3</v>
      </c>
      <c r="C6" s="15" t="s">
        <v>4</v>
      </c>
      <c r="D6" s="15" t="s">
        <v>5</v>
      </c>
      <c r="E6" s="15" t="s">
        <v>6</v>
      </c>
      <c r="H6" s="16" t="s">
        <v>3</v>
      </c>
      <c r="I6" s="16" t="s">
        <v>4</v>
      </c>
      <c r="J6" s="16" t="s">
        <v>5</v>
      </c>
      <c r="K6" s="16" t="s">
        <v>6</v>
      </c>
    </row>
    <row r="7" spans="1:13" ht="18" customHeight="1" x14ac:dyDescent="0.25">
      <c r="B7" s="17" t="s">
        <v>7</v>
      </c>
      <c r="C7" s="18">
        <f>RECEITAS!G9</f>
        <v>6120000</v>
      </c>
      <c r="D7" s="19">
        <f>CONFIG!C8</f>
        <v>17000000</v>
      </c>
      <c r="E7" s="20" t="s">
        <v>8</v>
      </c>
      <c r="H7" s="17" t="s">
        <v>9</v>
      </c>
      <c r="I7" s="18">
        <f>CONFIG!C10</f>
        <v>3500000</v>
      </c>
      <c r="J7" s="21">
        <f>CONFIG!C10</f>
        <v>3500000</v>
      </c>
      <c r="K7" s="20" t="s">
        <v>8</v>
      </c>
    </row>
    <row r="8" spans="1:13" ht="18" customHeight="1" x14ac:dyDescent="0.25">
      <c r="B8" s="22" t="s">
        <v>10</v>
      </c>
      <c r="C8" s="19">
        <f>CUSTOS!D12</f>
        <v>5755000</v>
      </c>
      <c r="D8" s="19">
        <f>CONFIG!C9</f>
        <v>11900000</v>
      </c>
      <c r="E8" s="23" t="s">
        <v>8</v>
      </c>
      <c r="H8" s="22" t="s">
        <v>11</v>
      </c>
      <c r="I8" s="19">
        <f>C9</f>
        <v>365000</v>
      </c>
      <c r="J8" s="24" t="s">
        <v>8</v>
      </c>
      <c r="K8" s="23" t="s">
        <v>8</v>
      </c>
    </row>
    <row r="9" spans="1:13" ht="18" customHeight="1" x14ac:dyDescent="0.25">
      <c r="B9" s="17" t="s">
        <v>11</v>
      </c>
      <c r="C9" s="18">
        <f>C7-C8</f>
        <v>365000</v>
      </c>
      <c r="D9" s="19">
        <f>D7-D8</f>
        <v>5100000</v>
      </c>
      <c r="E9" s="20" t="s">
        <v>8</v>
      </c>
      <c r="H9" s="17" t="s">
        <v>12</v>
      </c>
      <c r="I9" s="25">
        <f>IFERROR(C9/CONFIG!C10,0)</f>
        <v>0.10428571428571429</v>
      </c>
      <c r="J9" s="26">
        <f>CONFIG!C15</f>
        <v>0.4</v>
      </c>
      <c r="K9" s="27" t="str">
        <f>IF(I9&gt;=J9,"✅ OK",IF(I9&gt;=J9*0.8,"⚠️ Atenção","🔴 Crítico"))</f>
        <v>🔴 Crítico</v>
      </c>
    </row>
    <row r="10" spans="1:13" ht="18" customHeight="1" x14ac:dyDescent="0.25">
      <c r="B10" s="22" t="s">
        <v>13</v>
      </c>
      <c r="C10" s="28">
        <f>IFERROR(C9/C7,0)</f>
        <v>5.9640522875816997E-2</v>
      </c>
      <c r="D10" s="28">
        <f>CONFIG!C14</f>
        <v>0.25</v>
      </c>
      <c r="E10" s="29" t="str">
        <f>IF(C10&gt;=D10,"✅ OK",IF(C10&gt;=D10*0.8,"⚠️ Atenção","🔴 Crítico"))</f>
        <v>🔴 Crítico</v>
      </c>
      <c r="H10" s="22" t="s">
        <v>14</v>
      </c>
      <c r="I10" s="30">
        <f>CONFIG!C7</f>
        <v>30</v>
      </c>
      <c r="J10" s="31">
        <f>CONFIG!C16</f>
        <v>30</v>
      </c>
      <c r="K10" s="23" t="s">
        <v>8</v>
      </c>
    </row>
    <row r="11" spans="1:13" ht="18" customHeight="1" x14ac:dyDescent="0.25">
      <c r="B11" s="17" t="s">
        <v>15</v>
      </c>
      <c r="C11" s="25">
        <f>IFERROR(C8/C7,0)</f>
        <v>0.940359477124183</v>
      </c>
      <c r="D11" s="28">
        <f>IFERROR(D8/D7,0)</f>
        <v>0.7</v>
      </c>
      <c r="E11" s="20" t="s">
        <v>8</v>
      </c>
      <c r="H11" s="17" t="s">
        <v>16</v>
      </c>
      <c r="I11" s="25">
        <f>IFERROR((1+I9)^(12/CONFIG!C7)-1,0)</f>
        <v>4.0477232617072589E-2</v>
      </c>
      <c r="J11" s="24" t="s">
        <v>8</v>
      </c>
      <c r="K11" s="20" t="s">
        <v>8</v>
      </c>
    </row>
    <row r="12" spans="1:13" ht="7.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21.75" customHeight="1" x14ac:dyDescent="0.25">
      <c r="B13" s="8" t="s">
        <v>17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3" ht="19.5" customHeight="1" x14ac:dyDescent="0.25">
      <c r="B14" s="15" t="s">
        <v>18</v>
      </c>
      <c r="C14" s="15" t="s">
        <v>19</v>
      </c>
      <c r="D14" s="15" t="s">
        <v>20</v>
      </c>
      <c r="E14" s="15" t="s">
        <v>21</v>
      </c>
      <c r="F14" s="15" t="s">
        <v>22</v>
      </c>
      <c r="G14" s="15" t="s">
        <v>6</v>
      </c>
      <c r="H14" s="15" t="s">
        <v>23</v>
      </c>
    </row>
    <row r="15" spans="1:13" ht="18" customHeight="1" x14ac:dyDescent="0.25">
      <c r="B15" s="17" t="s">
        <v>24</v>
      </c>
      <c r="C15" s="18">
        <f>CUSTOS!C4</f>
        <v>2500000</v>
      </c>
      <c r="D15" s="18">
        <f>CUSTOS!D4</f>
        <v>2500000</v>
      </c>
      <c r="E15" s="32">
        <f t="shared" ref="E15:E23" si="0">D15-C15</f>
        <v>0</v>
      </c>
      <c r="F15" s="33">
        <f t="shared" ref="F15:F23" si="1">IFERROR(E15/C15,0)</f>
        <v>0</v>
      </c>
      <c r="G15" s="27" t="str">
        <f t="shared" ref="G15:G23" si="2">IF(F15&lt;=0,"✅ OK",IF(F15&lt;=0.05,"⚠️ Atenção","🔴 Estourou"))</f>
        <v>✅ OK</v>
      </c>
      <c r="H15" s="33">
        <f t="shared" ref="H15:H23" si="3">IFERROR(D15/C15,0)</f>
        <v>1</v>
      </c>
    </row>
    <row r="16" spans="1:13" ht="18" customHeight="1" x14ac:dyDescent="0.25">
      <c r="B16" s="22" t="s">
        <v>25</v>
      </c>
      <c r="C16" s="19">
        <f>CUSTOS!C5</f>
        <v>350000</v>
      </c>
      <c r="D16" s="19">
        <f>CUSTOS!D5</f>
        <v>385000</v>
      </c>
      <c r="E16" s="34">
        <f t="shared" si="0"/>
        <v>35000</v>
      </c>
      <c r="F16" s="35">
        <f t="shared" si="1"/>
        <v>0.1</v>
      </c>
      <c r="G16" s="29" t="str">
        <f t="shared" si="2"/>
        <v>🔴 Estourou</v>
      </c>
      <c r="H16" s="35">
        <f t="shared" si="3"/>
        <v>1.1000000000000001</v>
      </c>
    </row>
    <row r="17" spans="1:13" ht="18" customHeight="1" x14ac:dyDescent="0.25">
      <c r="B17" s="17" t="s">
        <v>26</v>
      </c>
      <c r="C17" s="18">
        <f>CUSTOS!C6</f>
        <v>5800000</v>
      </c>
      <c r="D17" s="18">
        <f>CUSTOS!D6</f>
        <v>1950000</v>
      </c>
      <c r="E17" s="32">
        <f t="shared" si="0"/>
        <v>-3850000</v>
      </c>
      <c r="F17" s="33">
        <f t="shared" si="1"/>
        <v>-0.66379310344827591</v>
      </c>
      <c r="G17" s="27" t="str">
        <f t="shared" si="2"/>
        <v>✅ OK</v>
      </c>
      <c r="H17" s="33">
        <f t="shared" si="3"/>
        <v>0.33620689655172414</v>
      </c>
    </row>
    <row r="18" spans="1:13" ht="18" customHeight="1" x14ac:dyDescent="0.25">
      <c r="B18" s="22" t="s">
        <v>27</v>
      </c>
      <c r="C18" s="19">
        <f>CUSTOS!C7</f>
        <v>900000</v>
      </c>
      <c r="D18" s="19">
        <f>CUSTOS!D7</f>
        <v>310000</v>
      </c>
      <c r="E18" s="34">
        <f t="shared" si="0"/>
        <v>-590000</v>
      </c>
      <c r="F18" s="35">
        <f t="shared" si="1"/>
        <v>-0.65555555555555556</v>
      </c>
      <c r="G18" s="29" t="str">
        <f t="shared" si="2"/>
        <v>✅ OK</v>
      </c>
      <c r="H18" s="35">
        <f t="shared" si="3"/>
        <v>0.34444444444444444</v>
      </c>
    </row>
    <row r="19" spans="1:13" ht="18" customHeight="1" x14ac:dyDescent="0.25">
      <c r="B19" s="17" t="s">
        <v>28</v>
      </c>
      <c r="C19" s="18">
        <f>CUSTOS!C8</f>
        <v>350000</v>
      </c>
      <c r="D19" s="18">
        <f>CUSTOS!D8</f>
        <v>180000</v>
      </c>
      <c r="E19" s="32">
        <f t="shared" si="0"/>
        <v>-170000</v>
      </c>
      <c r="F19" s="33">
        <f t="shared" si="1"/>
        <v>-0.48571428571428571</v>
      </c>
      <c r="G19" s="27" t="str">
        <f t="shared" si="2"/>
        <v>✅ OK</v>
      </c>
      <c r="H19" s="33">
        <f t="shared" si="3"/>
        <v>0.51428571428571423</v>
      </c>
    </row>
    <row r="20" spans="1:13" ht="18" customHeight="1" x14ac:dyDescent="0.25">
      <c r="B20" s="22" t="s">
        <v>29</v>
      </c>
      <c r="C20" s="19">
        <f>CUSTOS!C9</f>
        <v>595000</v>
      </c>
      <c r="D20" s="19">
        <f>CUSTOS!D9</f>
        <v>210000</v>
      </c>
      <c r="E20" s="34">
        <f t="shared" si="0"/>
        <v>-385000</v>
      </c>
      <c r="F20" s="35">
        <f t="shared" si="1"/>
        <v>-0.6470588235294118</v>
      </c>
      <c r="G20" s="29" t="str">
        <f t="shared" si="2"/>
        <v>✅ OK</v>
      </c>
      <c r="H20" s="35">
        <f t="shared" si="3"/>
        <v>0.35294117647058826</v>
      </c>
    </row>
    <row r="21" spans="1:13" ht="18" customHeight="1" x14ac:dyDescent="0.25">
      <c r="B21" s="17" t="s">
        <v>30</v>
      </c>
      <c r="C21" s="18">
        <f>CUSTOS!C10</f>
        <v>405000</v>
      </c>
      <c r="D21" s="18">
        <f>CUSTOS!D10</f>
        <v>95000</v>
      </c>
      <c r="E21" s="32">
        <f t="shared" si="0"/>
        <v>-310000</v>
      </c>
      <c r="F21" s="33">
        <f t="shared" si="1"/>
        <v>-0.76543209876543206</v>
      </c>
      <c r="G21" s="27" t="str">
        <f t="shared" si="2"/>
        <v>✅ OK</v>
      </c>
      <c r="H21" s="33">
        <f t="shared" si="3"/>
        <v>0.23456790123456789</v>
      </c>
    </row>
    <row r="22" spans="1:13" ht="18" customHeight="1" x14ac:dyDescent="0.25">
      <c r="B22" s="22" t="s">
        <v>31</v>
      </c>
      <c r="C22" s="19">
        <f>CUSTOS!C11</f>
        <v>450000</v>
      </c>
      <c r="D22" s="19">
        <f>CUSTOS!D11</f>
        <v>125000</v>
      </c>
      <c r="E22" s="34">
        <f t="shared" si="0"/>
        <v>-325000</v>
      </c>
      <c r="F22" s="35">
        <f t="shared" si="1"/>
        <v>-0.72222222222222221</v>
      </c>
      <c r="G22" s="29" t="str">
        <f t="shared" si="2"/>
        <v>✅ OK</v>
      </c>
      <c r="H22" s="35">
        <f t="shared" si="3"/>
        <v>0.27777777777777779</v>
      </c>
    </row>
    <row r="23" spans="1:13" ht="21.75" customHeight="1" x14ac:dyDescent="0.25">
      <c r="B23" s="36" t="s">
        <v>32</v>
      </c>
      <c r="C23" s="37">
        <f>CUSTOS!C12</f>
        <v>11350000</v>
      </c>
      <c r="D23" s="37">
        <f>CUSTOS!D12</f>
        <v>5755000</v>
      </c>
      <c r="E23" s="38">
        <f t="shared" si="0"/>
        <v>-5595000</v>
      </c>
      <c r="F23" s="39">
        <f t="shared" si="1"/>
        <v>-0.49295154185022028</v>
      </c>
      <c r="G23" s="40" t="str">
        <f t="shared" si="2"/>
        <v>✅ OK</v>
      </c>
      <c r="H23" s="39">
        <f t="shared" si="3"/>
        <v>0.50704845814977972</v>
      </c>
    </row>
    <row r="24" spans="1:13" ht="7.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21.75" customHeight="1" x14ac:dyDescent="0.25">
      <c r="B25" s="10" t="s">
        <v>33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3" ht="18" customHeight="1" x14ac:dyDescent="0.25">
      <c r="B26" s="15" t="s">
        <v>34</v>
      </c>
      <c r="C26" s="15" t="s">
        <v>35</v>
      </c>
      <c r="D26" s="15" t="s">
        <v>36</v>
      </c>
      <c r="E26" s="15" t="s">
        <v>37</v>
      </c>
      <c r="F26" s="15" t="s">
        <v>6</v>
      </c>
    </row>
    <row r="27" spans="1:13" ht="18" customHeight="1" x14ac:dyDescent="0.25">
      <c r="B27" s="17" t="s">
        <v>38</v>
      </c>
      <c r="C27" s="41">
        <f>CRONOGRAMA!C4</f>
        <v>46023</v>
      </c>
      <c r="D27" s="41">
        <f>IF(CRONOGRAMA!D4="","—",CRONOGRAMA!D4)</f>
        <v>46023</v>
      </c>
      <c r="E27" s="42">
        <f>CRONOGRAMA!E4</f>
        <v>0</v>
      </c>
      <c r="F27" s="43" t="str">
        <f>CRONOGRAMA!F4</f>
        <v>✅ No Prazo</v>
      </c>
    </row>
    <row r="28" spans="1:13" ht="18" customHeight="1" x14ac:dyDescent="0.25">
      <c r="B28" s="22" t="s">
        <v>39</v>
      </c>
      <c r="C28" s="44">
        <f>CRONOGRAMA!C5</f>
        <v>46054</v>
      </c>
      <c r="D28" s="44">
        <f>IF(CRONOGRAMA!D5="","—",CRONOGRAMA!D5)</f>
        <v>46068</v>
      </c>
      <c r="E28" s="45">
        <f>CRONOGRAMA!E5</f>
        <v>14</v>
      </c>
      <c r="F28" s="46" t="str">
        <f>CRONOGRAMA!F5</f>
        <v>⚠️ Atraso Leve</v>
      </c>
    </row>
    <row r="29" spans="1:13" ht="18" customHeight="1" x14ac:dyDescent="0.25">
      <c r="B29" s="17" t="s">
        <v>40</v>
      </c>
      <c r="C29" s="41">
        <f>CRONOGRAMA!C6</f>
        <v>46113</v>
      </c>
      <c r="D29" s="41" t="str">
        <f>IF(CRONOGRAMA!D6="","—",CRONOGRAMA!D6)</f>
        <v>—</v>
      </c>
      <c r="E29" s="42" t="str">
        <f>CRONOGRAMA!E6</f>
        <v/>
      </c>
      <c r="F29" s="43" t="str">
        <f>CRONOGRAMA!F6</f>
        <v>⏳ Pendente</v>
      </c>
    </row>
    <row r="30" spans="1:13" ht="18" customHeight="1" x14ac:dyDescent="0.25">
      <c r="B30" s="22" t="s">
        <v>41</v>
      </c>
      <c r="C30" s="44">
        <f>CRONOGRAMA!C7</f>
        <v>46143</v>
      </c>
      <c r="D30" s="44" t="str">
        <f>IF(CRONOGRAMA!D7="","—",CRONOGRAMA!D7)</f>
        <v>—</v>
      </c>
      <c r="E30" s="45" t="str">
        <f>CRONOGRAMA!E7</f>
        <v/>
      </c>
      <c r="F30" s="46" t="str">
        <f>CRONOGRAMA!F7</f>
        <v>⏳ Pendente</v>
      </c>
    </row>
    <row r="31" spans="1:13" ht="18" customHeight="1" x14ac:dyDescent="0.25">
      <c r="B31" s="17" t="s">
        <v>42</v>
      </c>
      <c r="C31" s="41">
        <f>CRONOGRAMA!C8</f>
        <v>46204</v>
      </c>
      <c r="D31" s="41" t="str">
        <f>IF(CRONOGRAMA!D8="","—",CRONOGRAMA!D8)</f>
        <v>—</v>
      </c>
      <c r="E31" s="42" t="str">
        <f>CRONOGRAMA!E8</f>
        <v/>
      </c>
      <c r="F31" s="43" t="str">
        <f>CRONOGRAMA!F8</f>
        <v>⏳ Pendente</v>
      </c>
    </row>
    <row r="32" spans="1:13" ht="18" customHeight="1" x14ac:dyDescent="0.25">
      <c r="B32" s="22" t="s">
        <v>43</v>
      </c>
      <c r="C32" s="44">
        <f>CRONOGRAMA!C9</f>
        <v>46753</v>
      </c>
      <c r="D32" s="44" t="str">
        <f>IF(CRONOGRAMA!D9="","—",CRONOGRAMA!D9)</f>
        <v>—</v>
      </c>
      <c r="E32" s="45" t="str">
        <f>CRONOGRAMA!E9</f>
        <v/>
      </c>
      <c r="F32" s="46" t="str">
        <f>CRONOGRAMA!F9</f>
        <v>⏳ Pendente</v>
      </c>
    </row>
    <row r="33" spans="1:13" ht="18" customHeight="1" x14ac:dyDescent="0.25">
      <c r="B33" s="17" t="s">
        <v>44</v>
      </c>
      <c r="C33" s="41">
        <f>CRONOGRAMA!C10</f>
        <v>46784</v>
      </c>
      <c r="D33" s="41" t="str">
        <f>IF(CRONOGRAMA!D10="","—",CRONOGRAMA!D10)</f>
        <v>—</v>
      </c>
      <c r="E33" s="42" t="str">
        <f>CRONOGRAMA!E10</f>
        <v/>
      </c>
      <c r="F33" s="43" t="str">
        <f>CRONOGRAMA!F10</f>
        <v>⏳ Pendente</v>
      </c>
    </row>
    <row r="34" spans="1:13" ht="18" customHeight="1" x14ac:dyDescent="0.25">
      <c r="B34" s="22" t="s">
        <v>45</v>
      </c>
      <c r="C34" s="44">
        <f>CRONOGRAMA!C11</f>
        <v>46935</v>
      </c>
      <c r="D34" s="44" t="str">
        <f>IF(CRONOGRAMA!D11="","—",CRONOGRAMA!D11)</f>
        <v>—</v>
      </c>
      <c r="E34" s="45" t="str">
        <f>CRONOGRAMA!E11</f>
        <v/>
      </c>
      <c r="F34" s="46" t="str">
        <f>CRONOGRAMA!F11</f>
        <v>⏳ Pendente</v>
      </c>
    </row>
    <row r="35" spans="1:13" ht="19.5" customHeight="1" x14ac:dyDescent="0.25">
      <c r="B35" s="47" t="s">
        <v>46</v>
      </c>
      <c r="C35" s="48"/>
      <c r="D35" s="48"/>
      <c r="E35" s="48"/>
      <c r="F35" s="49" t="str">
        <f>CRONOGRAMA!F18</f>
        <v>-</v>
      </c>
    </row>
    <row r="36" spans="1:13" ht="7.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21.75" customHeight="1" x14ac:dyDescent="0.25">
      <c r="B37" s="7" t="s">
        <v>47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3" ht="21.75" customHeight="1" x14ac:dyDescent="0.25">
      <c r="B38" s="50" t="s">
        <v>48</v>
      </c>
      <c r="C38" s="50" t="s">
        <v>49</v>
      </c>
      <c r="D38" s="50" t="s">
        <v>18</v>
      </c>
      <c r="E38" s="50" t="s">
        <v>19</v>
      </c>
      <c r="F38" s="50" t="s">
        <v>20</v>
      </c>
      <c r="G38" s="50" t="s">
        <v>50</v>
      </c>
      <c r="H38" s="50" t="s">
        <v>51</v>
      </c>
      <c r="I38" s="50" t="s">
        <v>52</v>
      </c>
    </row>
    <row r="39" spans="1:13" ht="18" customHeight="1" x14ac:dyDescent="0.25">
      <c r="B39" s="51">
        <v>1</v>
      </c>
      <c r="C39" s="52" t="str">
        <f>IFERROR(INDEX(FORNECEDORES!$B$4:$B$23,MATCH(1,FORNECEDORES!$K$4:$K$23,0)),"")</f>
        <v>Assessoria Jurídica</v>
      </c>
      <c r="D39" s="53" t="str">
        <f>IFERROR(INDEX(FORNECEDORES!$C$4:$C$23,MATCH(1,FORNECEDORES!$K$4:$K$23,0)),"")</f>
        <v>Aprovações</v>
      </c>
      <c r="E39" s="19">
        <f>IFERROR(INDEX(FORNECEDORES!$D$4:$D$23,MATCH(1,FORNECEDORES!$K$4:$K$23,0)),"")</f>
        <v>80000</v>
      </c>
      <c r="F39" s="19">
        <f>IFERROR(INDEX(FORNECEDORES!$E$4:$E$23,MATCH(1,FORNECEDORES!$K$4:$K$23,0)),"")</f>
        <v>90000</v>
      </c>
      <c r="G39" s="28">
        <f>IFERROR(INDEX(FORNECEDORES!$H$4:$H$23,MATCH(1,FORNECEDORES!$K$4:$K$23,0)),"")</f>
        <v>0.125</v>
      </c>
      <c r="H39" s="28">
        <f>IFERROR(INDEX(FORNECEDORES!$I$4:$I$23,MATCH(1,FORNECEDORES!$K$4:$K$23,0)),"")</f>
        <v>0.37777777777777777</v>
      </c>
      <c r="I39" s="54">
        <f>IFERROR(INDEX(FORNECEDORES!$J$4:$J$23,MATCH(1,FORNECEDORES!$K$4:$K$23,0)),"")</f>
        <v>25.138888888888889</v>
      </c>
    </row>
    <row r="40" spans="1:13" ht="18" customHeight="1" x14ac:dyDescent="0.25">
      <c r="B40" s="55">
        <v>2</v>
      </c>
      <c r="C40" s="56" t="str">
        <f>IFERROR(INDEX(FORNECEDORES!$B$4:$B$23,MATCH(2,FORNECEDORES!$K$4:$K$23,0)),"")</f>
        <v>Escritório Arq. XYZ</v>
      </c>
      <c r="D40" s="57" t="str">
        <f>IFERROR(INDEX(FORNECEDORES!$C$4:$C$23,MATCH(2,FORNECEDORES!$K$4:$K$23,0)),"")</f>
        <v>Projetos</v>
      </c>
      <c r="E40" s="18">
        <f>IFERROR(INDEX(FORNECEDORES!$D$4:$D$23,MATCH(2,FORNECEDORES!$K$4:$K$23,0)),"")</f>
        <v>180000</v>
      </c>
      <c r="F40" s="18">
        <f>IFERROR(INDEX(FORNECEDORES!$E$4:$E$23,MATCH(2,FORNECEDORES!$K$4:$K$23,0)),"")</f>
        <v>210000</v>
      </c>
      <c r="G40" s="25">
        <f>IFERROR(INDEX(FORNECEDORES!$H$4:$H$23,MATCH(2,FORNECEDORES!$K$4:$K$23,0)),"")</f>
        <v>0.16666666666666666</v>
      </c>
      <c r="H40" s="25">
        <f>IFERROR(INDEX(FORNECEDORES!$I$4:$I$23,MATCH(2,FORNECEDORES!$K$4:$K$23,0)),"")</f>
        <v>0.25</v>
      </c>
      <c r="I40" s="58">
        <f>IFERROR(INDEX(FORNECEDORES!$J$4:$J$23,MATCH(2,FORNECEDORES!$K$4:$K$23,0)),"")</f>
        <v>20.833333333333332</v>
      </c>
    </row>
    <row r="41" spans="1:13" ht="18" customHeight="1" x14ac:dyDescent="0.25">
      <c r="B41" s="51">
        <v>3</v>
      </c>
      <c r="C41" s="52" t="str">
        <f>IFERROR(INDEX(FORNECEDORES!$B$4:$B$23,MATCH(3,FORNECEDORES!$K$4:$K$23,0)),"")</f>
        <v>Gráfica &amp; Comunicação</v>
      </c>
      <c r="D41" s="53" t="str">
        <f>IFERROR(INDEX(FORNECEDORES!$C$4:$C$23,MATCH(3,FORNECEDORES!$K$4:$K$23,0)),"")</f>
        <v>Marketing</v>
      </c>
      <c r="E41" s="19">
        <f>IFERROR(INDEX(FORNECEDORES!$D$4:$D$23,MATCH(3,FORNECEDORES!$K$4:$K$23,0)),"")</f>
        <v>40000</v>
      </c>
      <c r="F41" s="19">
        <f>IFERROR(INDEX(FORNECEDORES!$E$4:$E$23,MATCH(3,FORNECEDORES!$K$4:$K$23,0)),"")</f>
        <v>50000</v>
      </c>
      <c r="G41" s="28">
        <f>IFERROR(INDEX(FORNECEDORES!$H$4:$H$23,MATCH(3,FORNECEDORES!$K$4:$K$23,0)),"")</f>
        <v>0.25</v>
      </c>
      <c r="H41" s="28">
        <f>IFERROR(INDEX(FORNECEDORES!$I$4:$I$23,MATCH(3,FORNECEDORES!$K$4:$K$23,0)),"")</f>
        <v>0.1</v>
      </c>
      <c r="I41" s="54">
        <f>IFERROR(INDEX(FORNECEDORES!$J$4:$J$23,MATCH(3,FORNECEDORES!$K$4:$K$23,0)),"")</f>
        <v>17.5</v>
      </c>
    </row>
    <row r="42" spans="1:13" ht="18" customHeight="1" x14ac:dyDescent="0.25">
      <c r="B42" s="55">
        <v>4</v>
      </c>
      <c r="C42" s="56" t="str">
        <f>IFERROR(INDEX(FORNECEDORES!$B$4:$B$23,MATCH(4,FORNECEDORES!$K$4:$K$23,0)),"")</f>
        <v>Topografia &amp; Sondagem</v>
      </c>
      <c r="D42" s="57" t="str">
        <f>IFERROR(INDEX(FORNECEDORES!$C$4:$C$23,MATCH(4,FORNECEDORES!$K$4:$K$23,0)),"")</f>
        <v>Outros</v>
      </c>
      <c r="E42" s="18">
        <f>IFERROR(INDEX(FORNECEDORES!$D$4:$D$23,MATCH(4,FORNECEDORES!$K$4:$K$23,0)),"")</f>
        <v>60000</v>
      </c>
      <c r="F42" s="18">
        <f>IFERROR(INDEX(FORNECEDORES!$E$4:$E$23,MATCH(4,FORNECEDORES!$K$4:$K$23,0)),"")</f>
        <v>65000</v>
      </c>
      <c r="G42" s="25">
        <f>IFERROR(INDEX(FORNECEDORES!$H$4:$H$23,MATCH(4,FORNECEDORES!$K$4:$K$23,0)),"")</f>
        <v>8.3333333333333329E-2</v>
      </c>
      <c r="H42" s="25">
        <f>IFERROR(INDEX(FORNECEDORES!$I$4:$I$23,MATCH(4,FORNECEDORES!$K$4:$K$23,0)),"")</f>
        <v>0.16666666666666666</v>
      </c>
      <c r="I42" s="58">
        <f>IFERROR(INDEX(FORNECEDORES!$J$4:$J$23,MATCH(4,FORNECEDORES!$K$4:$K$23,0)),"")</f>
        <v>12.5</v>
      </c>
    </row>
    <row r="43" spans="1:13" ht="18" customHeight="1" x14ac:dyDescent="0.25">
      <c r="B43" s="51">
        <v>5</v>
      </c>
      <c r="C43" s="52" t="str">
        <f>IFERROR(INDEX(FORNECEDORES!$B$4:$B$23,MATCH(5,FORNECEDORES!$K$4:$K$23,0)),"")</f>
        <v>Inst. Elétrica Ltda</v>
      </c>
      <c r="D43" s="53" t="str">
        <f>IFERROR(INDEX(FORNECEDORES!$C$4:$C$23,MATCH(5,FORNECEDORES!$K$4:$K$23,0)),"")</f>
        <v>Instalações</v>
      </c>
      <c r="E43" s="19">
        <f>IFERROR(INDEX(FORNECEDORES!$D$4:$D$23,MATCH(5,FORNECEDORES!$K$4:$K$23,0)),"")</f>
        <v>450000</v>
      </c>
      <c r="F43" s="19">
        <f>IFERROR(INDEX(FORNECEDORES!$E$4:$E$23,MATCH(5,FORNECEDORES!$K$4:$K$23,0)),"")</f>
        <v>185000</v>
      </c>
      <c r="G43" s="28">
        <f>IFERROR(INDEX(FORNECEDORES!$H$4:$H$23,MATCH(5,FORNECEDORES!$K$4:$K$23,0)),"")</f>
        <v>0</v>
      </c>
      <c r="H43" s="28">
        <f>IFERROR(INDEX(FORNECEDORES!$I$4:$I$23,MATCH(5,FORNECEDORES!$K$4:$K$23,0)),"")</f>
        <v>6.6666666666666666E-2</v>
      </c>
      <c r="I43" s="54">
        <f>IFERROR(INDEX(FORNECEDORES!$J$4:$J$23,MATCH(5,FORNECEDORES!$K$4:$K$23,0)),"")</f>
        <v>3.3333333333333335</v>
      </c>
    </row>
    <row r="44" spans="1:13" ht="18" customHeight="1" x14ac:dyDescent="0.25">
      <c r="B44" s="55">
        <v>6</v>
      </c>
      <c r="C44" s="56" t="str">
        <f>IFERROR(INDEX(FORNECEDORES!$B$4:$B$23,MATCH(6,FORNECEDORES!$K$4:$K$23,0)),"")</f>
        <v>Construtora ABC</v>
      </c>
      <c r="D44" s="57" t="str">
        <f>IFERROR(INDEX(FORNECEDORES!$C$4:$C$23,MATCH(6,FORNECEDORES!$K$4:$K$23,0)),"")</f>
        <v>Obra Civil</v>
      </c>
      <c r="E44" s="18">
        <f>IFERROR(INDEX(FORNECEDORES!$D$4:$D$23,MATCH(6,FORNECEDORES!$K$4:$K$23,0)),"")</f>
        <v>5800000</v>
      </c>
      <c r="F44" s="18">
        <f>IFERROR(INDEX(FORNECEDORES!$E$4:$E$23,MATCH(6,FORNECEDORES!$K$4:$K$23,0)),"")</f>
        <v>1950000</v>
      </c>
      <c r="G44" s="25">
        <f>IFERROR(INDEX(FORNECEDORES!$H$4:$H$23,MATCH(6,FORNECEDORES!$K$4:$K$23,0)),"")</f>
        <v>0</v>
      </c>
      <c r="H44" s="25">
        <f>IFERROR(INDEX(FORNECEDORES!$I$4:$I$23,MATCH(6,FORNECEDORES!$K$4:$K$23,0)),"")</f>
        <v>4.6296296296296294E-2</v>
      </c>
      <c r="I44" s="58">
        <f>IFERROR(INDEX(FORNECEDORES!$J$4:$J$23,MATCH(6,FORNECEDORES!$K$4:$K$23,0)),"")</f>
        <v>2.3148148148148149</v>
      </c>
    </row>
    <row r="45" spans="1:13" ht="18" customHeight="1" x14ac:dyDescent="0.25">
      <c r="B45" s="51">
        <v>7</v>
      </c>
      <c r="C45" s="52" t="str">
        <f>IFERROR(INDEX(FORNECEDORES!$B$4:$B$23,MATCH(7,FORNECEDORES!$K$4:$K$23,0)),"")</f>
        <v>Inst. Hidráulica SP</v>
      </c>
      <c r="D45" s="53" t="str">
        <f>IFERROR(INDEX(FORNECEDORES!$C$4:$C$23,MATCH(7,FORNECEDORES!$K$4:$K$23,0)),"")</f>
        <v>Instalações</v>
      </c>
      <c r="E45" s="19">
        <f>IFERROR(INDEX(FORNECEDORES!$D$4:$D$23,MATCH(7,FORNECEDORES!$K$4:$K$23,0)),"")</f>
        <v>400000</v>
      </c>
      <c r="F45" s="19">
        <f>IFERROR(INDEX(FORNECEDORES!$E$4:$E$23,MATCH(7,FORNECEDORES!$K$4:$K$23,0)),"")</f>
        <v>125000</v>
      </c>
      <c r="G45" s="28">
        <f>IFERROR(INDEX(FORNECEDORES!$H$4:$H$23,MATCH(7,FORNECEDORES!$K$4:$K$23,0)),"")</f>
        <v>0</v>
      </c>
      <c r="H45" s="28">
        <f>IFERROR(INDEX(FORNECEDORES!$I$4:$I$23,MATCH(7,FORNECEDORES!$K$4:$K$23,0)),"")</f>
        <v>0</v>
      </c>
      <c r="I45" s="54">
        <f>IFERROR(INDEX(FORNECEDORES!$J$4:$J$23,MATCH(7,FORNECEDORES!$K$4:$K$23,0)),"")</f>
        <v>0</v>
      </c>
    </row>
    <row r="46" spans="1:13" ht="18" customHeight="1" x14ac:dyDescent="0.25">
      <c r="B46" s="55">
        <v>8</v>
      </c>
      <c r="C46" s="56" t="str">
        <f>IFERROR(INDEX(FORNECEDORES!$B$4:$B$23,MATCH(8,FORNECEDORES!$K$4:$K$23,0)),"")</f>
        <v/>
      </c>
      <c r="D46" s="57" t="str">
        <f>IFERROR(INDEX(FORNECEDORES!$C$4:$C$23,MATCH(8,FORNECEDORES!$K$4:$K$23,0)),"")</f>
        <v/>
      </c>
      <c r="E46" s="18" t="str">
        <f>IFERROR(INDEX(FORNECEDORES!$D$4:$D$23,MATCH(8,FORNECEDORES!$K$4:$K$23,0)),"")</f>
        <v/>
      </c>
      <c r="F46" s="18" t="str">
        <f>IFERROR(INDEX(FORNECEDORES!$E$4:$E$23,MATCH(8,FORNECEDORES!$K$4:$K$23,0)),"")</f>
        <v/>
      </c>
      <c r="G46" s="25" t="str">
        <f>IFERROR(INDEX(FORNECEDORES!$H$4:$H$23,MATCH(8,FORNECEDORES!$K$4:$K$23,0)),"")</f>
        <v/>
      </c>
      <c r="H46" s="25" t="str">
        <f>IFERROR(INDEX(FORNECEDORES!$I$4:$I$23,MATCH(8,FORNECEDORES!$K$4:$K$23,0)),"")</f>
        <v/>
      </c>
      <c r="I46" s="58" t="str">
        <f>IFERROR(INDEX(FORNECEDORES!$J$4:$J$23,MATCH(8,FORNECEDORES!$K$4:$K$23,0)),"")</f>
        <v/>
      </c>
    </row>
    <row r="47" spans="1:13" ht="18" customHeight="1" x14ac:dyDescent="0.25">
      <c r="B47" s="51">
        <v>9</v>
      </c>
      <c r="C47" s="52" t="str">
        <f>IFERROR(INDEX(FORNECEDORES!$B$4:$B$23,MATCH(9,FORNECEDORES!$K$4:$K$23,0)),"")</f>
        <v/>
      </c>
      <c r="D47" s="53" t="str">
        <f>IFERROR(INDEX(FORNECEDORES!$C$4:$C$23,MATCH(9,FORNECEDORES!$K$4:$K$23,0)),"")</f>
        <v/>
      </c>
      <c r="E47" s="19" t="str">
        <f>IFERROR(INDEX(FORNECEDORES!$D$4:$D$23,MATCH(9,FORNECEDORES!$K$4:$K$23,0)),"")</f>
        <v/>
      </c>
      <c r="F47" s="19" t="str">
        <f>IFERROR(INDEX(FORNECEDORES!$E$4:$E$23,MATCH(9,FORNECEDORES!$K$4:$K$23,0)),"")</f>
        <v/>
      </c>
      <c r="G47" s="28" t="str">
        <f>IFERROR(INDEX(FORNECEDORES!$H$4:$H$23,MATCH(9,FORNECEDORES!$K$4:$K$23,0)),"")</f>
        <v/>
      </c>
      <c r="H47" s="28" t="str">
        <f>IFERROR(INDEX(FORNECEDORES!$I$4:$I$23,MATCH(9,FORNECEDORES!$K$4:$K$23,0)),"")</f>
        <v/>
      </c>
      <c r="I47" s="54" t="str">
        <f>IFERROR(INDEX(FORNECEDORES!$J$4:$J$23,MATCH(9,FORNECEDORES!$K$4:$K$23,0)),"")</f>
        <v/>
      </c>
    </row>
    <row r="48" spans="1:13" ht="18" customHeight="1" x14ac:dyDescent="0.25">
      <c r="B48" s="55">
        <v>10</v>
      </c>
      <c r="C48" s="56" t="str">
        <f>IFERROR(INDEX(FORNECEDORES!$B$4:$B$23,MATCH(10,FORNECEDORES!$K$4:$K$23,0)),"")</f>
        <v/>
      </c>
      <c r="D48" s="57" t="str">
        <f>IFERROR(INDEX(FORNECEDORES!$C$4:$C$23,MATCH(10,FORNECEDORES!$K$4:$K$23,0)),"")</f>
        <v/>
      </c>
      <c r="E48" s="18" t="str">
        <f>IFERROR(INDEX(FORNECEDORES!$D$4:$D$23,MATCH(10,FORNECEDORES!$K$4:$K$23,0)),"")</f>
        <v/>
      </c>
      <c r="F48" s="18" t="str">
        <f>IFERROR(INDEX(FORNECEDORES!$E$4:$E$23,MATCH(10,FORNECEDORES!$K$4:$K$23,0)),"")</f>
        <v/>
      </c>
      <c r="G48" s="25" t="str">
        <f>IFERROR(INDEX(FORNECEDORES!$H$4:$H$23,MATCH(10,FORNECEDORES!$K$4:$K$23,0)),"")</f>
        <v/>
      </c>
      <c r="H48" s="25" t="str">
        <f>IFERROR(INDEX(FORNECEDORES!$I$4:$I$23,MATCH(10,FORNECEDORES!$K$4:$K$23,0)),"")</f>
        <v/>
      </c>
      <c r="I48" s="58" t="str">
        <f>IFERROR(INDEX(FORNECEDORES!$J$4:$J$23,MATCH(10,FORNECEDORES!$K$4:$K$23,0)),"")</f>
        <v/>
      </c>
    </row>
    <row r="49" spans="1:13" ht="7.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21.75" customHeight="1" x14ac:dyDescent="0.25">
      <c r="B50" s="10" t="s">
        <v>53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68" spans="2:12" ht="19.5" customHeight="1" x14ac:dyDescent="0.25">
      <c r="B68" s="6" t="s">
        <v>54</v>
      </c>
      <c r="C68" s="6"/>
      <c r="D68" s="6"/>
      <c r="E68" s="6"/>
      <c r="F68" s="6"/>
      <c r="G68" s="6"/>
      <c r="H68" s="6"/>
      <c r="I68" s="6"/>
      <c r="J68" s="6"/>
      <c r="K68" s="6"/>
      <c r="L68" s="6"/>
    </row>
  </sheetData>
  <mergeCells count="15">
    <mergeCell ref="B37:L37"/>
    <mergeCell ref="A49:M49"/>
    <mergeCell ref="B50:L50"/>
    <mergeCell ref="B68:L68"/>
    <mergeCell ref="A12:M12"/>
    <mergeCell ref="B13:L13"/>
    <mergeCell ref="A24:M24"/>
    <mergeCell ref="B25:L25"/>
    <mergeCell ref="A36:M36"/>
    <mergeCell ref="A1:M1"/>
    <mergeCell ref="A2:M2"/>
    <mergeCell ref="A3:M3"/>
    <mergeCell ref="A4:M4"/>
    <mergeCell ref="B5:F5"/>
    <mergeCell ref="H5:L5"/>
  </mergeCells>
  <conditionalFormatting sqref="F15:F22">
    <cfRule type="cellIs" dxfId="17" priority="2" operator="greaterThan">
      <formula>0.05</formula>
    </cfRule>
    <cfRule type="cellIs" dxfId="16" priority="3" operator="between">
      <formula>0.001</formula>
      <formula>0.05</formula>
    </cfRule>
    <cfRule type="cellIs" dxfId="15" priority="4" operator="lessThanOrEqual">
      <formula>0</formula>
    </cfRule>
  </conditionalFormatting>
  <conditionalFormatting sqref="F27:F34">
    <cfRule type="expression" dxfId="14" priority="5">
      <formula>ISNUMBER(SEARCH("Atrasado",F27))</formula>
    </cfRule>
    <cfRule type="expression" dxfId="13" priority="6">
      <formula>ISNUMBER(SEARCH("Leve",F27))</formula>
    </cfRule>
    <cfRule type="expression" dxfId="12" priority="7">
      <formula>ISNUMBER(SEARCH("Prazo",F27))</formula>
    </cfRule>
  </conditionalFormatting>
  <conditionalFormatting sqref="I39:I48">
    <cfRule type="cellIs" dxfId="11" priority="8" operator="greaterThan">
      <formula>15</formula>
    </cfRule>
    <cfRule type="cellIs" dxfId="10" priority="9" operator="between">
      <formula>5</formula>
      <formula>15</formula>
    </cfRule>
    <cfRule type="cellIs" dxfId="9" priority="10" operator="lessThanOrEqual">
      <formula>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showGridLines="0" zoomScaleNormal="100" workbookViewId="0">
      <selection sqref="A1:D1"/>
    </sheetView>
  </sheetViews>
  <sheetFormatPr defaultColWidth="8.7109375" defaultRowHeight="15" customHeight="1" x14ac:dyDescent="0.25"/>
  <cols>
    <col min="1" max="1" width="3" customWidth="1"/>
    <col min="2" max="2" width="32" customWidth="1"/>
    <col min="3" max="3" width="22" customWidth="1"/>
    <col min="4" max="4" width="3" customWidth="1"/>
  </cols>
  <sheetData>
    <row r="1" spans="1:4" ht="30" customHeight="1" x14ac:dyDescent="0.25">
      <c r="A1" s="5" t="s">
        <v>55</v>
      </c>
      <c r="B1" s="5"/>
      <c r="C1" s="5"/>
      <c r="D1" s="5"/>
    </row>
    <row r="3" spans="1:4" ht="19.5" customHeight="1" x14ac:dyDescent="0.25">
      <c r="A3" s="10" t="s">
        <v>56</v>
      </c>
      <c r="B3" s="10"/>
      <c r="C3" s="10"/>
      <c r="D3" s="10"/>
    </row>
    <row r="4" spans="1:4" ht="18" customHeight="1" x14ac:dyDescent="0.25">
      <c r="B4" s="59" t="s">
        <v>57</v>
      </c>
      <c r="C4" s="60" t="s">
        <v>58</v>
      </c>
    </row>
    <row r="5" spans="1:4" ht="18" customHeight="1" x14ac:dyDescent="0.25">
      <c r="B5" s="59" t="s">
        <v>59</v>
      </c>
      <c r="C5" s="60" t="s">
        <v>60</v>
      </c>
    </row>
    <row r="6" spans="1:4" ht="18" customHeight="1" x14ac:dyDescent="0.25">
      <c r="B6" s="59" t="s">
        <v>61</v>
      </c>
      <c r="C6" s="61">
        <v>46023</v>
      </c>
    </row>
    <row r="7" spans="1:4" ht="18" customHeight="1" x14ac:dyDescent="0.25">
      <c r="B7" s="59" t="s">
        <v>14</v>
      </c>
      <c r="C7" s="62">
        <v>30</v>
      </c>
    </row>
    <row r="8" spans="1:4" ht="18" customHeight="1" x14ac:dyDescent="0.25">
      <c r="B8" s="59" t="s">
        <v>62</v>
      </c>
      <c r="C8" s="63">
        <v>17000000</v>
      </c>
    </row>
    <row r="9" spans="1:4" ht="18" customHeight="1" x14ac:dyDescent="0.25">
      <c r="B9" s="59" t="s">
        <v>63</v>
      </c>
      <c r="C9" s="63">
        <v>11900000</v>
      </c>
    </row>
    <row r="10" spans="1:4" ht="18" customHeight="1" x14ac:dyDescent="0.25">
      <c r="B10" s="59" t="s">
        <v>64</v>
      </c>
      <c r="C10" s="63">
        <v>3500000</v>
      </c>
    </row>
    <row r="13" spans="1:4" ht="19.5" customHeight="1" x14ac:dyDescent="0.25">
      <c r="A13" s="9" t="s">
        <v>65</v>
      </c>
      <c r="B13" s="9"/>
      <c r="C13" s="9"/>
      <c r="D13" s="9"/>
    </row>
    <row r="14" spans="1:4" ht="18" customHeight="1" x14ac:dyDescent="0.25">
      <c r="B14" s="59" t="s">
        <v>66</v>
      </c>
      <c r="C14" s="64">
        <v>0.25</v>
      </c>
    </row>
    <row r="15" spans="1:4" ht="18" customHeight="1" x14ac:dyDescent="0.25">
      <c r="B15" s="59" t="s">
        <v>67</v>
      </c>
      <c r="C15" s="64">
        <v>0.4</v>
      </c>
    </row>
    <row r="16" spans="1:4" ht="18" customHeight="1" x14ac:dyDescent="0.25">
      <c r="B16" s="59" t="s">
        <v>68</v>
      </c>
      <c r="C16" s="62">
        <v>30</v>
      </c>
    </row>
    <row r="19" spans="1:4" ht="19.5" customHeight="1" x14ac:dyDescent="0.25">
      <c r="A19" s="7" t="s">
        <v>69</v>
      </c>
      <c r="B19" s="7"/>
      <c r="C19" s="7"/>
      <c r="D19" s="7"/>
    </row>
    <row r="20" spans="1:4" ht="18" customHeight="1" x14ac:dyDescent="0.25">
      <c r="B20" s="59" t="s">
        <v>70</v>
      </c>
      <c r="C20" s="64">
        <v>0.5</v>
      </c>
    </row>
    <row r="21" spans="1:4" ht="18" customHeight="1" x14ac:dyDescent="0.25">
      <c r="B21" s="59" t="s">
        <v>71</v>
      </c>
      <c r="C21" s="64">
        <v>0.5</v>
      </c>
    </row>
    <row r="22" spans="1:4" ht="18" customHeight="1" x14ac:dyDescent="0.25">
      <c r="B22" s="65" t="s">
        <v>72</v>
      </c>
      <c r="C22" s="66">
        <f>C20+C21</f>
        <v>1</v>
      </c>
    </row>
    <row r="25" spans="1:4" x14ac:dyDescent="0.25">
      <c r="A25" s="4" t="s">
        <v>73</v>
      </c>
      <c r="B25" s="4"/>
      <c r="C25" s="4"/>
      <c r="D25" s="4"/>
    </row>
    <row r="26" spans="1:4" ht="15.75" customHeight="1" x14ac:dyDescent="0.25">
      <c r="B26" s="3" t="s">
        <v>74</v>
      </c>
      <c r="C26" s="3"/>
    </row>
    <row r="27" spans="1:4" ht="15.75" customHeight="1" x14ac:dyDescent="0.25">
      <c r="B27" s="2" t="s">
        <v>75</v>
      </c>
      <c r="C27" s="2"/>
    </row>
    <row r="28" spans="1:4" ht="15.75" customHeight="1" x14ac:dyDescent="0.25">
      <c r="B28" s="1" t="s">
        <v>76</v>
      </c>
      <c r="C28" s="1"/>
    </row>
    <row r="29" spans="1:4" ht="15.75" customHeight="1" x14ac:dyDescent="0.25">
      <c r="B29" s="93" t="s">
        <v>77</v>
      </c>
      <c r="C29" s="93"/>
    </row>
  </sheetData>
  <mergeCells count="9">
    <mergeCell ref="B26:C26"/>
    <mergeCell ref="B27:C27"/>
    <mergeCell ref="B28:C28"/>
    <mergeCell ref="B29:C29"/>
    <mergeCell ref="A1:D1"/>
    <mergeCell ref="A3:D3"/>
    <mergeCell ref="A13:D13"/>
    <mergeCell ref="A19:D19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showGridLines="0" zoomScaleNormal="100" workbookViewId="0"/>
  </sheetViews>
  <sheetFormatPr defaultColWidth="8.7109375" defaultRowHeight="15" customHeight="1" x14ac:dyDescent="0.25"/>
  <cols>
    <col min="1" max="1" width="3" customWidth="1"/>
    <col min="2" max="2" width="24" customWidth="1"/>
    <col min="3" max="3" width="12" customWidth="1"/>
    <col min="4" max="5" width="18" customWidth="1"/>
    <col min="6" max="6" width="14" customWidth="1"/>
    <col min="7" max="7" width="18" customWidth="1"/>
    <col min="8" max="8" width="3" customWidth="1"/>
  </cols>
  <sheetData>
    <row r="1" spans="1:8" ht="27.75" customHeight="1" x14ac:dyDescent="0.25">
      <c r="A1" s="94" t="s">
        <v>78</v>
      </c>
      <c r="B1" s="94"/>
      <c r="C1" s="94"/>
      <c r="D1" s="94"/>
      <c r="E1" s="94"/>
      <c r="F1" s="94"/>
      <c r="G1" s="94"/>
      <c r="H1" s="94"/>
    </row>
    <row r="3" spans="1:8" ht="19.5" customHeight="1" x14ac:dyDescent="0.25">
      <c r="B3" s="10" t="s">
        <v>79</v>
      </c>
      <c r="C3" s="10"/>
      <c r="D3" s="10"/>
      <c r="E3" s="10"/>
      <c r="F3" s="10"/>
      <c r="G3" s="10"/>
    </row>
    <row r="4" spans="1:8" ht="19.5" customHeight="1" x14ac:dyDescent="0.25">
      <c r="B4" s="15" t="s">
        <v>80</v>
      </c>
      <c r="C4" s="15" t="s">
        <v>81</v>
      </c>
      <c r="D4" s="15" t="s">
        <v>82</v>
      </c>
      <c r="E4" s="15" t="s">
        <v>83</v>
      </c>
      <c r="F4" s="15" t="s">
        <v>84</v>
      </c>
      <c r="G4" s="15" t="s">
        <v>85</v>
      </c>
    </row>
    <row r="5" spans="1:8" ht="18" customHeight="1" x14ac:dyDescent="0.25">
      <c r="B5" s="67" t="s">
        <v>86</v>
      </c>
      <c r="C5" s="62">
        <v>8</v>
      </c>
      <c r="D5" s="63">
        <v>350000</v>
      </c>
      <c r="E5" s="32">
        <f>C5*D5</f>
        <v>2800000</v>
      </c>
      <c r="F5" s="64">
        <v>0.6</v>
      </c>
      <c r="G5" s="32">
        <f>E5*F5</f>
        <v>1680000</v>
      </c>
    </row>
    <row r="6" spans="1:8" ht="18" customHeight="1" x14ac:dyDescent="0.25">
      <c r="B6" s="59" t="s">
        <v>87</v>
      </c>
      <c r="C6" s="62">
        <v>15</v>
      </c>
      <c r="D6" s="63">
        <v>580000</v>
      </c>
      <c r="E6" s="34">
        <f>C6*D6</f>
        <v>8700000</v>
      </c>
      <c r="F6" s="64">
        <v>0.4</v>
      </c>
      <c r="G6" s="34">
        <f>E6*F6</f>
        <v>3480000</v>
      </c>
    </row>
    <row r="7" spans="1:8" ht="18" customHeight="1" x14ac:dyDescent="0.25">
      <c r="B7" s="67" t="s">
        <v>88</v>
      </c>
      <c r="C7" s="62">
        <v>8</v>
      </c>
      <c r="D7" s="63">
        <v>600000</v>
      </c>
      <c r="E7" s="32">
        <f>C7*D7</f>
        <v>4800000</v>
      </c>
      <c r="F7" s="64">
        <v>0.2</v>
      </c>
      <c r="G7" s="32">
        <f>E7*F7</f>
        <v>960000</v>
      </c>
    </row>
    <row r="8" spans="1:8" ht="18" customHeight="1" x14ac:dyDescent="0.25">
      <c r="B8" s="59" t="s">
        <v>89</v>
      </c>
      <c r="C8" s="62">
        <v>2</v>
      </c>
      <c r="D8" s="63">
        <v>950000</v>
      </c>
      <c r="E8" s="34">
        <f>C8*D8</f>
        <v>1900000</v>
      </c>
      <c r="F8" s="64">
        <v>0</v>
      </c>
      <c r="G8" s="34">
        <f>E8*F8</f>
        <v>0</v>
      </c>
    </row>
    <row r="9" spans="1:8" ht="21.75" customHeight="1" x14ac:dyDescent="0.25">
      <c r="B9" s="68" t="s">
        <v>90</v>
      </c>
      <c r="C9" s="69">
        <f>SUM(C5:C8)</f>
        <v>33</v>
      </c>
      <c r="D9" s="70"/>
      <c r="E9" s="71">
        <f>SUM(E5:E8)</f>
        <v>18200000</v>
      </c>
      <c r="F9" s="72">
        <f>IFERROR(G9/E9,0)</f>
        <v>0.33626373626373629</v>
      </c>
      <c r="G9" s="71">
        <f>SUM(G5:G8)</f>
        <v>6120000</v>
      </c>
    </row>
    <row r="11" spans="1:8" ht="19.5" customHeight="1" x14ac:dyDescent="0.25">
      <c r="B11" s="95" t="s">
        <v>91</v>
      </c>
      <c r="C11" s="95"/>
      <c r="D11" s="95"/>
      <c r="E11" s="95"/>
      <c r="F11" s="95"/>
      <c r="G11" s="95"/>
    </row>
    <row r="12" spans="1:8" ht="18" customHeight="1" x14ac:dyDescent="0.25">
      <c r="B12" s="59" t="s">
        <v>92</v>
      </c>
      <c r="C12" s="73"/>
      <c r="D12" s="73"/>
      <c r="E12" s="73"/>
      <c r="F12" s="73"/>
      <c r="G12" s="32">
        <f>E9</f>
        <v>18200000</v>
      </c>
    </row>
    <row r="13" spans="1:8" ht="18" customHeight="1" x14ac:dyDescent="0.25">
      <c r="B13" s="59" t="s">
        <v>93</v>
      </c>
      <c r="C13" s="73"/>
      <c r="D13" s="73"/>
      <c r="E13" s="73"/>
      <c r="F13" s="73"/>
      <c r="G13" s="32">
        <f>G9</f>
        <v>6120000</v>
      </c>
    </row>
    <row r="14" spans="1:8" ht="18" customHeight="1" x14ac:dyDescent="0.25">
      <c r="B14" s="59" t="s">
        <v>94</v>
      </c>
      <c r="C14" s="73"/>
      <c r="D14" s="73"/>
      <c r="E14" s="73"/>
      <c r="F14" s="73"/>
      <c r="G14" s="33">
        <f>IFERROR(G9/E9,0)</f>
        <v>0.33626373626373629</v>
      </c>
    </row>
    <row r="15" spans="1:8" ht="18" customHeight="1" x14ac:dyDescent="0.25">
      <c r="B15" s="59" t="s">
        <v>95</v>
      </c>
      <c r="C15" s="73"/>
      <c r="D15" s="73"/>
      <c r="E15" s="73"/>
      <c r="F15" s="73"/>
      <c r="G15" s="32">
        <f>E9-G9</f>
        <v>12080000</v>
      </c>
    </row>
    <row r="18" spans="2:7" ht="19.5" customHeight="1" x14ac:dyDescent="0.25">
      <c r="B18" s="9" t="s">
        <v>96</v>
      </c>
      <c r="C18" s="9"/>
      <c r="D18" s="9"/>
      <c r="E18" s="9"/>
      <c r="F18" s="9"/>
      <c r="G18" s="9"/>
    </row>
    <row r="19" spans="2:7" ht="19.5" customHeight="1" x14ac:dyDescent="0.25">
      <c r="B19" s="16" t="s">
        <v>97</v>
      </c>
      <c r="C19" s="16" t="s">
        <v>98</v>
      </c>
      <c r="D19" s="16" t="s">
        <v>99</v>
      </c>
      <c r="E19" s="16" t="s">
        <v>100</v>
      </c>
      <c r="F19" s="16" t="s">
        <v>101</v>
      </c>
      <c r="G19" s="16" t="s">
        <v>90</v>
      </c>
    </row>
    <row r="20" spans="2:7" ht="18" customHeight="1" x14ac:dyDescent="0.25">
      <c r="B20" s="67" t="s">
        <v>86</v>
      </c>
      <c r="C20" s="63">
        <v>70000</v>
      </c>
      <c r="D20" s="63">
        <v>130000</v>
      </c>
      <c r="E20" s="63">
        <v>900000</v>
      </c>
      <c r="F20" s="63">
        <v>60000</v>
      </c>
      <c r="G20" s="32">
        <f>C20+D20+E20+F20</f>
        <v>1160000</v>
      </c>
    </row>
    <row r="21" spans="2:7" ht="18" customHeight="1" x14ac:dyDescent="0.25">
      <c r="B21" s="59" t="s">
        <v>87</v>
      </c>
      <c r="C21" s="63">
        <v>139200</v>
      </c>
      <c r="D21" s="63">
        <v>232000</v>
      </c>
      <c r="E21" s="63">
        <v>2088000</v>
      </c>
      <c r="F21" s="63">
        <v>0</v>
      </c>
      <c r="G21" s="34">
        <f>C21+D21+E21+F21</f>
        <v>2459200</v>
      </c>
    </row>
    <row r="22" spans="2:7" ht="18" customHeight="1" x14ac:dyDescent="0.25">
      <c r="B22" s="67" t="s">
        <v>88</v>
      </c>
      <c r="C22" s="63">
        <v>72000</v>
      </c>
      <c r="D22" s="63">
        <v>120000</v>
      </c>
      <c r="E22" s="63">
        <v>768000</v>
      </c>
      <c r="F22" s="63">
        <v>0</v>
      </c>
      <c r="G22" s="32">
        <f>C22+D22+E22+F22</f>
        <v>960000</v>
      </c>
    </row>
    <row r="23" spans="2:7" ht="18" customHeight="1" x14ac:dyDescent="0.25">
      <c r="B23" s="59" t="s">
        <v>89</v>
      </c>
      <c r="C23" s="63">
        <v>0</v>
      </c>
      <c r="D23" s="63">
        <v>0</v>
      </c>
      <c r="E23" s="63">
        <v>0</v>
      </c>
      <c r="F23" s="63">
        <v>0</v>
      </c>
      <c r="G23" s="34">
        <f>C23+D23+E23+F23</f>
        <v>0</v>
      </c>
    </row>
    <row r="24" spans="2:7" ht="21.75" customHeight="1" x14ac:dyDescent="0.25">
      <c r="B24" s="74" t="s">
        <v>90</v>
      </c>
      <c r="C24" s="75">
        <f>SUM(C20:C23)</f>
        <v>281200</v>
      </c>
      <c r="D24" s="75">
        <f>SUM(D20:D23)</f>
        <v>482000</v>
      </c>
      <c r="E24" s="75">
        <f>SUM(E20:E23)</f>
        <v>3756000</v>
      </c>
      <c r="F24" s="75">
        <f>SUM(F20:F23)</f>
        <v>60000</v>
      </c>
      <c r="G24" s="75">
        <f>SUM(G20:G23)</f>
        <v>4579200</v>
      </c>
    </row>
  </sheetData>
  <mergeCells count="4">
    <mergeCell ref="A1:H1"/>
    <mergeCell ref="B3:G3"/>
    <mergeCell ref="B11:G11"/>
    <mergeCell ref="B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3" customWidth="1"/>
    <col min="2" max="2" width="28" customWidth="1"/>
    <col min="3" max="4" width="18" customWidth="1"/>
    <col min="5" max="5" width="12" customWidth="1"/>
    <col min="6" max="6" width="16" customWidth="1"/>
    <col min="7" max="7" width="14" customWidth="1"/>
    <col min="8" max="8" width="3" customWidth="1"/>
  </cols>
  <sheetData>
    <row r="1" spans="1:8" ht="27.75" customHeight="1" x14ac:dyDescent="0.25">
      <c r="A1" s="94" t="s">
        <v>102</v>
      </c>
      <c r="B1" s="94"/>
      <c r="C1" s="94"/>
      <c r="D1" s="94"/>
      <c r="E1" s="94"/>
      <c r="F1" s="94"/>
      <c r="G1" s="94"/>
      <c r="H1" s="94"/>
    </row>
    <row r="2" spans="1:8" ht="15.75" customHeight="1" x14ac:dyDescent="0.25">
      <c r="A2" s="96" t="s">
        <v>103</v>
      </c>
      <c r="B2" s="96"/>
      <c r="C2" s="96"/>
      <c r="D2" s="96"/>
      <c r="E2" s="96"/>
      <c r="F2" s="96"/>
      <c r="G2" s="96"/>
      <c r="H2" s="96"/>
    </row>
    <row r="3" spans="1:8" ht="21.75" customHeight="1" x14ac:dyDescent="0.25">
      <c r="A3" s="76"/>
      <c r="B3" s="76" t="s">
        <v>18</v>
      </c>
      <c r="C3" s="76" t="s">
        <v>19</v>
      </c>
      <c r="D3" s="76" t="s">
        <v>20</v>
      </c>
      <c r="E3" s="76" t="s">
        <v>23</v>
      </c>
      <c r="F3" s="76" t="s">
        <v>21</v>
      </c>
      <c r="G3" s="76" t="s">
        <v>22</v>
      </c>
      <c r="H3" s="76"/>
    </row>
    <row r="4" spans="1:8" ht="18" customHeight="1" x14ac:dyDescent="0.25">
      <c r="B4" s="67" t="s">
        <v>24</v>
      </c>
      <c r="C4" s="63">
        <v>2500000</v>
      </c>
      <c r="D4" s="63">
        <v>2500000</v>
      </c>
      <c r="E4" s="33">
        <f t="shared" ref="E4:E12" si="0">IFERROR(D4/C4,0)</f>
        <v>1</v>
      </c>
      <c r="F4" s="32">
        <f t="shared" ref="F4:F12" si="1">D4-C4</f>
        <v>0</v>
      </c>
      <c r="G4" s="33">
        <f t="shared" ref="G4:G12" si="2">IFERROR((D4-C4)/C4,0)</f>
        <v>0</v>
      </c>
    </row>
    <row r="5" spans="1:8" ht="18" customHeight="1" x14ac:dyDescent="0.25">
      <c r="B5" s="59" t="s">
        <v>25</v>
      </c>
      <c r="C5" s="63">
        <v>350000</v>
      </c>
      <c r="D5" s="63">
        <v>385000</v>
      </c>
      <c r="E5" s="35">
        <f t="shared" si="0"/>
        <v>1.1000000000000001</v>
      </c>
      <c r="F5" s="34">
        <f t="shared" si="1"/>
        <v>35000</v>
      </c>
      <c r="G5" s="35">
        <f t="shared" si="2"/>
        <v>0.1</v>
      </c>
    </row>
    <row r="6" spans="1:8" ht="18" customHeight="1" x14ac:dyDescent="0.25">
      <c r="B6" s="67" t="s">
        <v>26</v>
      </c>
      <c r="C6" s="63">
        <v>5800000</v>
      </c>
      <c r="D6" s="63">
        <v>1950000</v>
      </c>
      <c r="E6" s="33">
        <f t="shared" si="0"/>
        <v>0.33620689655172414</v>
      </c>
      <c r="F6" s="32">
        <f t="shared" si="1"/>
        <v>-3850000</v>
      </c>
      <c r="G6" s="33">
        <f t="shared" si="2"/>
        <v>-0.66379310344827591</v>
      </c>
    </row>
    <row r="7" spans="1:8" ht="18" customHeight="1" x14ac:dyDescent="0.25">
      <c r="B7" s="59" t="s">
        <v>27</v>
      </c>
      <c r="C7" s="63">
        <v>900000</v>
      </c>
      <c r="D7" s="63">
        <v>310000</v>
      </c>
      <c r="E7" s="35">
        <f t="shared" si="0"/>
        <v>0.34444444444444444</v>
      </c>
      <c r="F7" s="34">
        <f t="shared" si="1"/>
        <v>-590000</v>
      </c>
      <c r="G7" s="35">
        <f t="shared" si="2"/>
        <v>-0.65555555555555556</v>
      </c>
    </row>
    <row r="8" spans="1:8" ht="18" customHeight="1" x14ac:dyDescent="0.25">
      <c r="B8" s="67" t="s">
        <v>28</v>
      </c>
      <c r="C8" s="63">
        <v>350000</v>
      </c>
      <c r="D8" s="63">
        <v>180000</v>
      </c>
      <c r="E8" s="33">
        <f t="shared" si="0"/>
        <v>0.51428571428571423</v>
      </c>
      <c r="F8" s="32">
        <f t="shared" si="1"/>
        <v>-170000</v>
      </c>
      <c r="G8" s="33">
        <f t="shared" si="2"/>
        <v>-0.48571428571428571</v>
      </c>
    </row>
    <row r="9" spans="1:8" ht="18" customHeight="1" x14ac:dyDescent="0.25">
      <c r="B9" s="59" t="s">
        <v>29</v>
      </c>
      <c r="C9" s="63">
        <v>595000</v>
      </c>
      <c r="D9" s="63">
        <v>210000</v>
      </c>
      <c r="E9" s="35">
        <f t="shared" si="0"/>
        <v>0.35294117647058826</v>
      </c>
      <c r="F9" s="34">
        <f t="shared" si="1"/>
        <v>-385000</v>
      </c>
      <c r="G9" s="35">
        <f t="shared" si="2"/>
        <v>-0.6470588235294118</v>
      </c>
    </row>
    <row r="10" spans="1:8" ht="18" customHeight="1" x14ac:dyDescent="0.25">
      <c r="B10" s="67" t="s">
        <v>30</v>
      </c>
      <c r="C10" s="63">
        <v>405000</v>
      </c>
      <c r="D10" s="63">
        <v>95000</v>
      </c>
      <c r="E10" s="33">
        <f t="shared" si="0"/>
        <v>0.23456790123456789</v>
      </c>
      <c r="F10" s="32">
        <f t="shared" si="1"/>
        <v>-310000</v>
      </c>
      <c r="G10" s="33">
        <f t="shared" si="2"/>
        <v>-0.76543209876543206</v>
      </c>
    </row>
    <row r="11" spans="1:8" ht="18" customHeight="1" x14ac:dyDescent="0.25">
      <c r="B11" s="59" t="s">
        <v>31</v>
      </c>
      <c r="C11" s="63">
        <v>450000</v>
      </c>
      <c r="D11" s="63">
        <v>125000</v>
      </c>
      <c r="E11" s="35">
        <f t="shared" si="0"/>
        <v>0.27777777777777779</v>
      </c>
      <c r="F11" s="34">
        <f t="shared" si="1"/>
        <v>-325000</v>
      </c>
      <c r="G11" s="35">
        <f t="shared" si="2"/>
        <v>-0.72222222222222221</v>
      </c>
    </row>
    <row r="12" spans="1:8" ht="21.75" customHeight="1" x14ac:dyDescent="0.25">
      <c r="B12" s="36" t="s">
        <v>32</v>
      </c>
      <c r="C12" s="38">
        <f>SUM(C4:C11)</f>
        <v>11350000</v>
      </c>
      <c r="D12" s="38">
        <f>SUM(D4:D11)</f>
        <v>5755000</v>
      </c>
      <c r="E12" s="39">
        <f t="shared" si="0"/>
        <v>0.50704845814977972</v>
      </c>
      <c r="F12" s="38">
        <f t="shared" si="1"/>
        <v>-5595000</v>
      </c>
      <c r="G12" s="39">
        <f t="shared" si="2"/>
        <v>-0.49295154185022028</v>
      </c>
    </row>
    <row r="14" spans="1:8" x14ac:dyDescent="0.25">
      <c r="B14" s="97" t="s">
        <v>104</v>
      </c>
      <c r="C14" s="97"/>
      <c r="D14" s="97"/>
      <c r="E14" s="97"/>
      <c r="F14" s="97"/>
      <c r="G14" s="97"/>
    </row>
  </sheetData>
  <mergeCells count="3">
    <mergeCell ref="A1:H1"/>
    <mergeCell ref="A2:H2"/>
    <mergeCell ref="B14:G14"/>
  </mergeCells>
  <conditionalFormatting sqref="G4:G11">
    <cfRule type="cellIs" dxfId="8" priority="2" operator="greaterThan">
      <formula>0.05</formula>
    </cfRule>
    <cfRule type="cellIs" dxfId="7" priority="3" operator="between">
      <formula>0.001</formula>
      <formula>0.05</formula>
    </cfRule>
    <cfRule type="cellIs" dxfId="6" priority="4" operator="less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showGridLines="0" zoomScaleNormal="100" workbookViewId="0"/>
  </sheetViews>
  <sheetFormatPr defaultColWidth="8.7109375" defaultRowHeight="15" customHeight="1" x14ac:dyDescent="0.25"/>
  <cols>
    <col min="1" max="1" width="3" customWidth="1"/>
    <col min="2" max="2" width="28" customWidth="1"/>
    <col min="3" max="4" width="16" customWidth="1"/>
    <col min="5" max="5" width="14" customWidth="1"/>
    <col min="6" max="6" width="18" customWidth="1"/>
    <col min="7" max="7" width="3" customWidth="1"/>
  </cols>
  <sheetData>
    <row r="1" spans="1:7" ht="27.75" customHeight="1" x14ac:dyDescent="0.25">
      <c r="A1" s="94" t="s">
        <v>105</v>
      </c>
      <c r="B1" s="94"/>
      <c r="C1" s="94"/>
      <c r="D1" s="94"/>
      <c r="E1" s="94"/>
      <c r="F1" s="94"/>
      <c r="G1" s="94"/>
    </row>
    <row r="2" spans="1:7" ht="15.75" customHeight="1" x14ac:dyDescent="0.25">
      <c r="A2" s="96" t="s">
        <v>106</v>
      </c>
      <c r="B2" s="96"/>
      <c r="C2" s="96"/>
      <c r="D2" s="96"/>
      <c r="E2" s="96"/>
      <c r="F2" s="96"/>
      <c r="G2" s="96"/>
    </row>
    <row r="3" spans="1:7" ht="21.75" customHeight="1" x14ac:dyDescent="0.25">
      <c r="A3" s="76"/>
      <c r="B3" s="76" t="s">
        <v>107</v>
      </c>
      <c r="C3" s="76" t="s">
        <v>108</v>
      </c>
      <c r="D3" s="76" t="s">
        <v>109</v>
      </c>
      <c r="E3" s="76" t="s">
        <v>110</v>
      </c>
      <c r="F3" s="76" t="s">
        <v>6</v>
      </c>
      <c r="G3" s="76"/>
    </row>
    <row r="4" spans="1:7" ht="19.5" customHeight="1" x14ac:dyDescent="0.25">
      <c r="B4" s="67" t="s">
        <v>38</v>
      </c>
      <c r="C4" s="61">
        <v>46023</v>
      </c>
      <c r="D4" s="61">
        <v>46023</v>
      </c>
      <c r="E4" s="77">
        <f t="shared" ref="E4:E11" si="0">IF(D4="","",D4-C4)</f>
        <v>0</v>
      </c>
      <c r="F4" s="27" t="str">
        <f t="shared" ref="F4:F11" si="1">IF(D4="","⏳ Pendente",IF(D4&lt;=C4,"✅ No Prazo",IF(D4-C4&lt;=15,"⚠️ Atraso Leve","🔴 Atrasado")))</f>
        <v>✅ No Prazo</v>
      </c>
    </row>
    <row r="5" spans="1:7" ht="19.5" customHeight="1" x14ac:dyDescent="0.25">
      <c r="B5" s="59" t="s">
        <v>39</v>
      </c>
      <c r="C5" s="61">
        <v>46054</v>
      </c>
      <c r="D5" s="61">
        <v>46068</v>
      </c>
      <c r="E5" s="78">
        <f t="shared" si="0"/>
        <v>14</v>
      </c>
      <c r="F5" s="29" t="str">
        <f t="shared" si="1"/>
        <v>⚠️ Atraso Leve</v>
      </c>
    </row>
    <row r="6" spans="1:7" ht="19.5" customHeight="1" x14ac:dyDescent="0.25">
      <c r="B6" s="67" t="s">
        <v>40</v>
      </c>
      <c r="C6" s="61">
        <v>46113</v>
      </c>
      <c r="D6" s="61"/>
      <c r="E6" s="77" t="str">
        <f t="shared" si="0"/>
        <v/>
      </c>
      <c r="F6" s="27" t="str">
        <f t="shared" si="1"/>
        <v>⏳ Pendente</v>
      </c>
    </row>
    <row r="7" spans="1:7" ht="19.5" customHeight="1" x14ac:dyDescent="0.25">
      <c r="B7" s="59" t="s">
        <v>41</v>
      </c>
      <c r="C7" s="61">
        <v>46143</v>
      </c>
      <c r="D7" s="61"/>
      <c r="E7" s="78" t="str">
        <f t="shared" si="0"/>
        <v/>
      </c>
      <c r="F7" s="29" t="str">
        <f t="shared" si="1"/>
        <v>⏳ Pendente</v>
      </c>
    </row>
    <row r="8" spans="1:7" ht="19.5" customHeight="1" x14ac:dyDescent="0.25">
      <c r="B8" s="67" t="s">
        <v>42</v>
      </c>
      <c r="C8" s="61">
        <v>46204</v>
      </c>
      <c r="D8" s="61"/>
      <c r="E8" s="77" t="str">
        <f t="shared" si="0"/>
        <v/>
      </c>
      <c r="F8" s="27" t="str">
        <f t="shared" si="1"/>
        <v>⏳ Pendente</v>
      </c>
    </row>
    <row r="9" spans="1:7" ht="19.5" customHeight="1" x14ac:dyDescent="0.25">
      <c r="B9" s="59" t="s">
        <v>43</v>
      </c>
      <c r="C9" s="61">
        <v>46753</v>
      </c>
      <c r="D9" s="61"/>
      <c r="E9" s="78" t="str">
        <f t="shared" si="0"/>
        <v/>
      </c>
      <c r="F9" s="29" t="str">
        <f t="shared" si="1"/>
        <v>⏳ Pendente</v>
      </c>
    </row>
    <row r="10" spans="1:7" ht="19.5" customHeight="1" x14ac:dyDescent="0.25">
      <c r="B10" s="67" t="s">
        <v>44</v>
      </c>
      <c r="C10" s="61">
        <v>46784</v>
      </c>
      <c r="D10" s="61"/>
      <c r="E10" s="77" t="str">
        <f t="shared" si="0"/>
        <v/>
      </c>
      <c r="F10" s="27" t="str">
        <f t="shared" si="1"/>
        <v>⏳ Pendente</v>
      </c>
    </row>
    <row r="11" spans="1:7" ht="19.5" customHeight="1" x14ac:dyDescent="0.25">
      <c r="B11" s="59" t="s">
        <v>45</v>
      </c>
      <c r="C11" s="61">
        <v>46935</v>
      </c>
      <c r="D11" s="61"/>
      <c r="E11" s="78" t="str">
        <f t="shared" si="0"/>
        <v/>
      </c>
      <c r="F11" s="29" t="str">
        <f t="shared" si="1"/>
        <v>⏳ Pendente</v>
      </c>
    </row>
    <row r="13" spans="1:7" ht="19.5" customHeight="1" x14ac:dyDescent="0.25">
      <c r="B13" s="95" t="s">
        <v>111</v>
      </c>
      <c r="C13" s="95"/>
      <c r="D13" s="95"/>
      <c r="E13" s="95"/>
      <c r="F13" s="95"/>
    </row>
    <row r="14" spans="1:7" ht="18" customHeight="1" x14ac:dyDescent="0.25">
      <c r="B14" s="59" t="s">
        <v>112</v>
      </c>
      <c r="C14" s="98"/>
      <c r="D14" s="98"/>
      <c r="E14" s="98"/>
      <c r="F14" s="41">
        <f>C4</f>
        <v>46023</v>
      </c>
    </row>
    <row r="15" spans="1:7" ht="18" customHeight="1" x14ac:dyDescent="0.25">
      <c r="B15" s="59" t="s">
        <v>113</v>
      </c>
      <c r="C15" s="98"/>
      <c r="D15" s="98"/>
      <c r="E15" s="98"/>
      <c r="F15" s="41">
        <f>C11</f>
        <v>46935</v>
      </c>
    </row>
    <row r="16" spans="1:7" ht="18" customHeight="1" x14ac:dyDescent="0.25">
      <c r="B16" s="59" t="s">
        <v>114</v>
      </c>
      <c r="C16" s="98"/>
      <c r="D16" s="98"/>
      <c r="E16" s="98"/>
      <c r="F16" s="42">
        <f>C11-C4</f>
        <v>912</v>
      </c>
    </row>
    <row r="17" spans="2:6" ht="18" customHeight="1" x14ac:dyDescent="0.25">
      <c r="B17" s="59" t="s">
        <v>115</v>
      </c>
      <c r="C17" s="98"/>
      <c r="D17" s="98"/>
      <c r="E17" s="98"/>
      <c r="F17" s="42" t="str">
        <f>IF(D11="","-",D11-D4)</f>
        <v>-</v>
      </c>
    </row>
    <row r="18" spans="2:6" ht="18" customHeight="1" x14ac:dyDescent="0.25">
      <c r="B18" s="59" t="s">
        <v>116</v>
      </c>
      <c r="C18" s="98"/>
      <c r="D18" s="98"/>
      <c r="E18" s="98"/>
      <c r="F18" s="42" t="str">
        <f>IF(E11="","-",SUM(E4:E11))</f>
        <v>-</v>
      </c>
    </row>
  </sheetData>
  <mergeCells count="8">
    <mergeCell ref="C16:E16"/>
    <mergeCell ref="C17:E17"/>
    <mergeCell ref="C18:E18"/>
    <mergeCell ref="A1:G1"/>
    <mergeCell ref="A2:G2"/>
    <mergeCell ref="B13:F13"/>
    <mergeCell ref="C14:E14"/>
    <mergeCell ref="C15:E15"/>
  </mergeCells>
  <conditionalFormatting sqref="F4:F11">
    <cfRule type="expression" dxfId="5" priority="2">
      <formula>ISNUMBER(SEARCH("Atrasado",F4))</formula>
    </cfRule>
    <cfRule type="expression" dxfId="4" priority="3">
      <formula>ISNUMBER(SEARCH("Leve",F4))</formula>
    </cfRule>
    <cfRule type="expression" dxfId="3" priority="4">
      <formula>ISNUMBER(SEARCH("Prazo",F4))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3" customWidth="1"/>
    <col min="2" max="2" width="22" customWidth="1"/>
    <col min="3" max="5" width="18" customWidth="1"/>
    <col min="6" max="9" width="14" customWidth="1"/>
    <col min="10" max="10" width="10" customWidth="1"/>
    <col min="11" max="11" width="3" customWidth="1"/>
  </cols>
  <sheetData>
    <row r="1" spans="1:11" ht="27.75" customHeight="1" x14ac:dyDescent="0.25">
      <c r="A1" s="94" t="s">
        <v>117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ht="15.75" customHeight="1" x14ac:dyDescent="0.25">
      <c r="A2" s="96" t="s">
        <v>118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30" customHeight="1" x14ac:dyDescent="0.25">
      <c r="A3" s="50"/>
      <c r="B3" s="50" t="s">
        <v>49</v>
      </c>
      <c r="C3" s="50" t="s">
        <v>18</v>
      </c>
      <c r="D3" s="50" t="s">
        <v>119</v>
      </c>
      <c r="E3" s="50" t="s">
        <v>120</v>
      </c>
      <c r="F3" s="50" t="s">
        <v>121</v>
      </c>
      <c r="G3" s="50" t="s">
        <v>122</v>
      </c>
      <c r="H3" s="50" t="s">
        <v>50</v>
      </c>
      <c r="I3" s="50" t="s">
        <v>51</v>
      </c>
      <c r="J3" s="50" t="s">
        <v>52</v>
      </c>
      <c r="K3" s="50" t="s">
        <v>48</v>
      </c>
    </row>
    <row r="4" spans="1:11" ht="18" customHeight="1" x14ac:dyDescent="0.25">
      <c r="B4" s="67" t="s">
        <v>123</v>
      </c>
      <c r="C4" s="67" t="s">
        <v>26</v>
      </c>
      <c r="D4" s="63">
        <v>5800000</v>
      </c>
      <c r="E4" s="63">
        <v>1950000</v>
      </c>
      <c r="F4" s="62">
        <v>540</v>
      </c>
      <c r="G4" s="62">
        <v>565</v>
      </c>
      <c r="H4" s="33">
        <f t="shared" ref="H4:H23" si="0">IFERROR(MAX(0,(E4-D4)/D4),0)</f>
        <v>0</v>
      </c>
      <c r="I4" s="33">
        <f t="shared" ref="I4:I23" si="1">IFERROR(MAX(0,(G4-F4)/F4),0)</f>
        <v>4.6296296296296294E-2</v>
      </c>
      <c r="J4" s="79">
        <f>IFERROR((H4*CONFIG!$C$20 + I4*CONFIG!$C$21)*100,0)</f>
        <v>2.3148148148148149</v>
      </c>
      <c r="K4" s="80">
        <f t="shared" ref="K4:K23" si="2">IF(B4="","",RANK(J4,$J$4:$J$23,0))</f>
        <v>6</v>
      </c>
    </row>
    <row r="5" spans="1:11" ht="18" customHeight="1" x14ac:dyDescent="0.25">
      <c r="B5" s="59" t="s">
        <v>124</v>
      </c>
      <c r="C5" s="59" t="s">
        <v>27</v>
      </c>
      <c r="D5" s="63">
        <v>450000</v>
      </c>
      <c r="E5" s="63">
        <v>185000</v>
      </c>
      <c r="F5" s="62">
        <v>120</v>
      </c>
      <c r="G5" s="62">
        <v>128</v>
      </c>
      <c r="H5" s="35">
        <f t="shared" si="0"/>
        <v>0</v>
      </c>
      <c r="I5" s="35">
        <f t="shared" si="1"/>
        <v>6.6666666666666666E-2</v>
      </c>
      <c r="J5" s="81">
        <f>IFERROR((H5*CONFIG!$C$20 + I5*CONFIG!$C$21)*100,0)</f>
        <v>3.3333333333333335</v>
      </c>
      <c r="K5" s="82">
        <f t="shared" si="2"/>
        <v>5</v>
      </c>
    </row>
    <row r="6" spans="1:11" ht="18" customHeight="1" x14ac:dyDescent="0.25">
      <c r="B6" s="67" t="s">
        <v>125</v>
      </c>
      <c r="C6" s="67" t="s">
        <v>27</v>
      </c>
      <c r="D6" s="63">
        <v>400000</v>
      </c>
      <c r="E6" s="63">
        <v>125000</v>
      </c>
      <c r="F6" s="62">
        <v>90</v>
      </c>
      <c r="G6" s="62">
        <v>90</v>
      </c>
      <c r="H6" s="33">
        <f t="shared" si="0"/>
        <v>0</v>
      </c>
      <c r="I6" s="33">
        <f t="shared" si="1"/>
        <v>0</v>
      </c>
      <c r="J6" s="79">
        <f>IFERROR((H6*CONFIG!$C$20 + I6*CONFIG!$C$21)*100,0)</f>
        <v>0</v>
      </c>
      <c r="K6" s="80">
        <f t="shared" si="2"/>
        <v>7</v>
      </c>
    </row>
    <row r="7" spans="1:11" ht="18" customHeight="1" x14ac:dyDescent="0.25">
      <c r="B7" s="59" t="s">
        <v>126</v>
      </c>
      <c r="C7" s="59" t="s">
        <v>127</v>
      </c>
      <c r="D7" s="63">
        <v>180000</v>
      </c>
      <c r="E7" s="63">
        <v>210000</v>
      </c>
      <c r="F7" s="62">
        <v>60</v>
      </c>
      <c r="G7" s="62">
        <v>75</v>
      </c>
      <c r="H7" s="35">
        <f t="shared" si="0"/>
        <v>0.16666666666666666</v>
      </c>
      <c r="I7" s="35">
        <f t="shared" si="1"/>
        <v>0.25</v>
      </c>
      <c r="J7" s="81">
        <f>IFERROR((H7*CONFIG!$C$20 + I7*CONFIG!$C$21)*100,0)</f>
        <v>20.833333333333332</v>
      </c>
      <c r="K7" s="82">
        <f t="shared" si="2"/>
        <v>2</v>
      </c>
    </row>
    <row r="8" spans="1:11" ht="18" customHeight="1" x14ac:dyDescent="0.25">
      <c r="B8" s="67" t="s">
        <v>128</v>
      </c>
      <c r="C8" s="67" t="s">
        <v>31</v>
      </c>
      <c r="D8" s="63">
        <v>60000</v>
      </c>
      <c r="E8" s="63">
        <v>65000</v>
      </c>
      <c r="F8" s="62">
        <v>30</v>
      </c>
      <c r="G8" s="62">
        <v>35</v>
      </c>
      <c r="H8" s="33">
        <f t="shared" si="0"/>
        <v>8.3333333333333329E-2</v>
      </c>
      <c r="I8" s="33">
        <f t="shared" si="1"/>
        <v>0.16666666666666666</v>
      </c>
      <c r="J8" s="79">
        <f>IFERROR((H8*CONFIG!$C$20 + I8*CONFIG!$C$21)*100,0)</f>
        <v>12.5</v>
      </c>
      <c r="K8" s="80">
        <f t="shared" si="2"/>
        <v>4</v>
      </c>
    </row>
    <row r="9" spans="1:11" ht="18" customHeight="1" x14ac:dyDescent="0.25">
      <c r="B9" s="59" t="s">
        <v>129</v>
      </c>
      <c r="C9" s="59" t="s">
        <v>28</v>
      </c>
      <c r="D9" s="63">
        <v>150000</v>
      </c>
      <c r="E9" s="63">
        <v>130000</v>
      </c>
      <c r="F9" s="62">
        <v>120</v>
      </c>
      <c r="G9" s="62">
        <v>120</v>
      </c>
      <c r="H9" s="35">
        <f t="shared" si="0"/>
        <v>0</v>
      </c>
      <c r="I9" s="35">
        <f t="shared" si="1"/>
        <v>0</v>
      </c>
      <c r="J9" s="81">
        <f>IFERROR((H9*CONFIG!$C$20 + I9*CONFIG!$C$21)*100,0)</f>
        <v>0</v>
      </c>
      <c r="K9" s="82">
        <f t="shared" si="2"/>
        <v>7</v>
      </c>
    </row>
    <row r="10" spans="1:11" ht="18" customHeight="1" x14ac:dyDescent="0.25">
      <c r="B10" s="67" t="s">
        <v>130</v>
      </c>
      <c r="C10" s="67" t="s">
        <v>29</v>
      </c>
      <c r="D10" s="63">
        <v>595000</v>
      </c>
      <c r="E10" s="63">
        <v>210000</v>
      </c>
      <c r="F10" s="62">
        <v>540</v>
      </c>
      <c r="G10" s="62">
        <v>540</v>
      </c>
      <c r="H10" s="33">
        <f t="shared" si="0"/>
        <v>0</v>
      </c>
      <c r="I10" s="33">
        <f t="shared" si="1"/>
        <v>0</v>
      </c>
      <c r="J10" s="79">
        <f>IFERROR((H10*CONFIG!$C$20 + I10*CONFIG!$C$21)*100,0)</f>
        <v>0</v>
      </c>
      <c r="K10" s="80">
        <f t="shared" si="2"/>
        <v>7</v>
      </c>
    </row>
    <row r="11" spans="1:11" ht="18" customHeight="1" x14ac:dyDescent="0.25">
      <c r="B11" s="59" t="s">
        <v>131</v>
      </c>
      <c r="C11" s="59" t="s">
        <v>132</v>
      </c>
      <c r="D11" s="63">
        <v>405000</v>
      </c>
      <c r="E11" s="63">
        <v>95000</v>
      </c>
      <c r="F11" s="62">
        <v>540</v>
      </c>
      <c r="G11" s="62">
        <v>540</v>
      </c>
      <c r="H11" s="35">
        <f t="shared" si="0"/>
        <v>0</v>
      </c>
      <c r="I11" s="35">
        <f t="shared" si="1"/>
        <v>0</v>
      </c>
      <c r="J11" s="81">
        <f>IFERROR((H11*CONFIG!$C$20 + I11*CONFIG!$C$21)*100,0)</f>
        <v>0</v>
      </c>
      <c r="K11" s="82">
        <f t="shared" si="2"/>
        <v>7</v>
      </c>
    </row>
    <row r="12" spans="1:11" ht="18" customHeight="1" x14ac:dyDescent="0.25">
      <c r="B12" s="67" t="s">
        <v>133</v>
      </c>
      <c r="C12" s="67" t="s">
        <v>134</v>
      </c>
      <c r="D12" s="63">
        <v>80000</v>
      </c>
      <c r="E12" s="63">
        <v>90000</v>
      </c>
      <c r="F12" s="62">
        <v>45</v>
      </c>
      <c r="G12" s="62">
        <v>62</v>
      </c>
      <c r="H12" s="33">
        <f t="shared" si="0"/>
        <v>0.125</v>
      </c>
      <c r="I12" s="33">
        <f t="shared" si="1"/>
        <v>0.37777777777777777</v>
      </c>
      <c r="J12" s="79">
        <f>IFERROR((H12*CONFIG!$C$20 + I12*CONFIG!$C$21)*100,0)</f>
        <v>25.138888888888889</v>
      </c>
      <c r="K12" s="80">
        <f t="shared" si="2"/>
        <v>1</v>
      </c>
    </row>
    <row r="13" spans="1:11" ht="18" customHeight="1" x14ac:dyDescent="0.25">
      <c r="B13" s="59" t="s">
        <v>135</v>
      </c>
      <c r="C13" s="59" t="s">
        <v>28</v>
      </c>
      <c r="D13" s="63">
        <v>40000</v>
      </c>
      <c r="E13" s="63">
        <v>50000</v>
      </c>
      <c r="F13" s="62">
        <v>20</v>
      </c>
      <c r="G13" s="62">
        <v>22</v>
      </c>
      <c r="H13" s="35">
        <f t="shared" si="0"/>
        <v>0.25</v>
      </c>
      <c r="I13" s="35">
        <f t="shared" si="1"/>
        <v>0.1</v>
      </c>
      <c r="J13" s="81">
        <f>IFERROR((H13*CONFIG!$C$20 + I13*CONFIG!$C$21)*100,0)</f>
        <v>17.5</v>
      </c>
      <c r="K13" s="82">
        <f t="shared" si="2"/>
        <v>3</v>
      </c>
    </row>
    <row r="14" spans="1:11" ht="18" customHeight="1" x14ac:dyDescent="0.25">
      <c r="B14" s="67"/>
      <c r="C14" s="67"/>
      <c r="D14" s="67"/>
      <c r="E14" s="67"/>
      <c r="F14" s="67"/>
      <c r="G14" s="67"/>
      <c r="H14" s="33">
        <f t="shared" si="0"/>
        <v>0</v>
      </c>
      <c r="I14" s="33">
        <f t="shared" si="1"/>
        <v>0</v>
      </c>
      <c r="J14" s="79">
        <f>IFERROR((H14*CONFIG!$C$20+I14*CONFIG!$C$21)*100,0)</f>
        <v>0</v>
      </c>
      <c r="K14" s="80" t="str">
        <f t="shared" si="2"/>
        <v/>
      </c>
    </row>
    <row r="15" spans="1:11" ht="18" customHeight="1" x14ac:dyDescent="0.25">
      <c r="B15" s="59"/>
      <c r="C15" s="59"/>
      <c r="D15" s="59"/>
      <c r="E15" s="59"/>
      <c r="F15" s="59"/>
      <c r="G15" s="59"/>
      <c r="H15" s="35">
        <f t="shared" si="0"/>
        <v>0</v>
      </c>
      <c r="I15" s="35">
        <f t="shared" si="1"/>
        <v>0</v>
      </c>
      <c r="J15" s="81">
        <f>IFERROR((H15*CONFIG!$C$20+I15*CONFIG!$C$21)*100,0)</f>
        <v>0</v>
      </c>
      <c r="K15" s="82" t="str">
        <f t="shared" si="2"/>
        <v/>
      </c>
    </row>
    <row r="16" spans="1:11" ht="18" customHeight="1" x14ac:dyDescent="0.25">
      <c r="B16" s="67"/>
      <c r="C16" s="67"/>
      <c r="D16" s="67"/>
      <c r="E16" s="67"/>
      <c r="F16" s="67"/>
      <c r="G16" s="67"/>
      <c r="H16" s="33">
        <f t="shared" si="0"/>
        <v>0</v>
      </c>
      <c r="I16" s="33">
        <f t="shared" si="1"/>
        <v>0</v>
      </c>
      <c r="J16" s="79">
        <f>IFERROR((H16*CONFIG!$C$20+I16*CONFIG!$C$21)*100,0)</f>
        <v>0</v>
      </c>
      <c r="K16" s="80" t="str">
        <f t="shared" si="2"/>
        <v/>
      </c>
    </row>
    <row r="17" spans="2:11" ht="18" customHeight="1" x14ac:dyDescent="0.25">
      <c r="B17" s="59"/>
      <c r="C17" s="59"/>
      <c r="D17" s="59"/>
      <c r="E17" s="59"/>
      <c r="F17" s="59"/>
      <c r="G17" s="59"/>
      <c r="H17" s="35">
        <f t="shared" si="0"/>
        <v>0</v>
      </c>
      <c r="I17" s="35">
        <f t="shared" si="1"/>
        <v>0</v>
      </c>
      <c r="J17" s="81">
        <f>IFERROR((H17*CONFIG!$C$20+I17*CONFIG!$C$21)*100,0)</f>
        <v>0</v>
      </c>
      <c r="K17" s="82" t="str">
        <f t="shared" si="2"/>
        <v/>
      </c>
    </row>
    <row r="18" spans="2:11" ht="18" customHeight="1" x14ac:dyDescent="0.25">
      <c r="B18" s="67"/>
      <c r="C18" s="67"/>
      <c r="D18" s="67"/>
      <c r="E18" s="67"/>
      <c r="F18" s="67"/>
      <c r="G18" s="67"/>
      <c r="H18" s="33">
        <f t="shared" si="0"/>
        <v>0</v>
      </c>
      <c r="I18" s="33">
        <f t="shared" si="1"/>
        <v>0</v>
      </c>
      <c r="J18" s="79">
        <f>IFERROR((H18*CONFIG!$C$20+I18*CONFIG!$C$21)*100,0)</f>
        <v>0</v>
      </c>
      <c r="K18" s="80" t="str">
        <f t="shared" si="2"/>
        <v/>
      </c>
    </row>
    <row r="19" spans="2:11" ht="18" customHeight="1" x14ac:dyDescent="0.25">
      <c r="B19" s="59"/>
      <c r="C19" s="59"/>
      <c r="D19" s="59"/>
      <c r="E19" s="59"/>
      <c r="F19" s="59"/>
      <c r="G19" s="59"/>
      <c r="H19" s="35">
        <f t="shared" si="0"/>
        <v>0</v>
      </c>
      <c r="I19" s="35">
        <f t="shared" si="1"/>
        <v>0</v>
      </c>
      <c r="J19" s="81">
        <f>IFERROR((H19*CONFIG!$C$20+I19*CONFIG!$C$21)*100,0)</f>
        <v>0</v>
      </c>
      <c r="K19" s="82" t="str">
        <f t="shared" si="2"/>
        <v/>
      </c>
    </row>
    <row r="20" spans="2:11" ht="18" customHeight="1" x14ac:dyDescent="0.25">
      <c r="B20" s="67"/>
      <c r="C20" s="67"/>
      <c r="D20" s="67"/>
      <c r="E20" s="67"/>
      <c r="F20" s="67"/>
      <c r="G20" s="67"/>
      <c r="H20" s="33">
        <f t="shared" si="0"/>
        <v>0</v>
      </c>
      <c r="I20" s="33">
        <f t="shared" si="1"/>
        <v>0</v>
      </c>
      <c r="J20" s="79">
        <f>IFERROR((H20*CONFIG!$C$20+I20*CONFIG!$C$21)*100,0)</f>
        <v>0</v>
      </c>
      <c r="K20" s="80" t="str">
        <f t="shared" si="2"/>
        <v/>
      </c>
    </row>
    <row r="21" spans="2:11" ht="18" customHeight="1" x14ac:dyDescent="0.25">
      <c r="B21" s="59"/>
      <c r="C21" s="59"/>
      <c r="D21" s="59"/>
      <c r="E21" s="59"/>
      <c r="F21" s="59"/>
      <c r="G21" s="59"/>
      <c r="H21" s="35">
        <f t="shared" si="0"/>
        <v>0</v>
      </c>
      <c r="I21" s="35">
        <f t="shared" si="1"/>
        <v>0</v>
      </c>
      <c r="J21" s="81">
        <f>IFERROR((H21*CONFIG!$C$20+I21*CONFIG!$C$21)*100,0)</f>
        <v>0</v>
      </c>
      <c r="K21" s="82" t="str">
        <f t="shared" si="2"/>
        <v/>
      </c>
    </row>
    <row r="22" spans="2:11" ht="18" customHeight="1" x14ac:dyDescent="0.25">
      <c r="B22" s="67"/>
      <c r="C22" s="67"/>
      <c r="D22" s="67"/>
      <c r="E22" s="67"/>
      <c r="F22" s="67"/>
      <c r="G22" s="67"/>
      <c r="H22" s="33">
        <f t="shared" si="0"/>
        <v>0</v>
      </c>
      <c r="I22" s="33">
        <f t="shared" si="1"/>
        <v>0</v>
      </c>
      <c r="J22" s="79">
        <f>IFERROR((H22*CONFIG!$C$20+I22*CONFIG!$C$21)*100,0)</f>
        <v>0</v>
      </c>
      <c r="K22" s="80" t="str">
        <f t="shared" si="2"/>
        <v/>
      </c>
    </row>
    <row r="23" spans="2:11" ht="18" customHeight="1" x14ac:dyDescent="0.25">
      <c r="B23" s="59"/>
      <c r="C23" s="59"/>
      <c r="D23" s="59"/>
      <c r="E23" s="59"/>
      <c r="F23" s="59"/>
      <c r="G23" s="59"/>
      <c r="H23" s="35">
        <f t="shared" si="0"/>
        <v>0</v>
      </c>
      <c r="I23" s="35">
        <f t="shared" si="1"/>
        <v>0</v>
      </c>
      <c r="J23" s="81">
        <f>IFERROR((H23*CONFIG!$C$20+I23*CONFIG!$C$21)*100,0)</f>
        <v>0</v>
      </c>
      <c r="K23" s="82" t="str">
        <f t="shared" si="2"/>
        <v/>
      </c>
    </row>
  </sheetData>
  <mergeCells count="2">
    <mergeCell ref="A1:K1"/>
    <mergeCell ref="A2:K2"/>
  </mergeCells>
  <conditionalFormatting sqref="J4:J23">
    <cfRule type="cellIs" dxfId="2" priority="2" operator="greaterThan">
      <formula>15</formula>
    </cfRule>
    <cfRule type="cellIs" dxfId="1" priority="3" operator="between">
      <formula>5</formula>
      <formula>15</formula>
    </cfRule>
    <cfRule type="cellIs" dxfId="0" priority="4" operator="lessThanOrEqual">
      <formula>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26" customWidth="1"/>
    <col min="2" max="2" width="3" customWidth="1"/>
    <col min="3" max="39" width="9" customWidth="1"/>
  </cols>
  <sheetData>
    <row r="1" spans="1:39" ht="27.75" customHeight="1" x14ac:dyDescent="0.25">
      <c r="A1" s="94" t="s">
        <v>136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</row>
    <row r="2" spans="1:39" ht="15.75" customHeight="1" x14ac:dyDescent="0.25">
      <c r="A2" s="96" t="s">
        <v>137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</row>
    <row r="3" spans="1:39" ht="19.5" customHeight="1" x14ac:dyDescent="0.25">
      <c r="A3" s="76" t="s">
        <v>18</v>
      </c>
      <c r="B3" s="83"/>
      <c r="C3" s="84" t="s">
        <v>138</v>
      </c>
      <c r="D3" s="84" t="s">
        <v>139</v>
      </c>
      <c r="E3" s="84" t="s">
        <v>140</v>
      </c>
      <c r="F3" s="84" t="s">
        <v>141</v>
      </c>
      <c r="G3" s="84" t="s">
        <v>142</v>
      </c>
      <c r="H3" s="84" t="s">
        <v>143</v>
      </c>
      <c r="I3" s="84" t="s">
        <v>144</v>
      </c>
      <c r="J3" s="84" t="s">
        <v>145</v>
      </c>
      <c r="K3" s="84" t="s">
        <v>146</v>
      </c>
      <c r="L3" s="84" t="s">
        <v>147</v>
      </c>
      <c r="M3" s="84" t="s">
        <v>148</v>
      </c>
      <c r="N3" s="84" t="s">
        <v>149</v>
      </c>
      <c r="O3" s="84" t="s">
        <v>150</v>
      </c>
      <c r="P3" s="84" t="s">
        <v>151</v>
      </c>
      <c r="Q3" s="84" t="s">
        <v>152</v>
      </c>
      <c r="R3" s="84" t="s">
        <v>153</v>
      </c>
      <c r="S3" s="84" t="s">
        <v>154</v>
      </c>
      <c r="T3" s="84" t="s">
        <v>155</v>
      </c>
      <c r="U3" s="84" t="s">
        <v>156</v>
      </c>
      <c r="V3" s="84" t="s">
        <v>157</v>
      </c>
      <c r="W3" s="84" t="s">
        <v>158</v>
      </c>
      <c r="X3" s="84" t="s">
        <v>159</v>
      </c>
      <c r="Y3" s="84" t="s">
        <v>160</v>
      </c>
      <c r="Z3" s="84" t="s">
        <v>161</v>
      </c>
      <c r="AA3" s="84" t="s">
        <v>162</v>
      </c>
      <c r="AB3" s="84" t="s">
        <v>163</v>
      </c>
      <c r="AC3" s="84" t="s">
        <v>164</v>
      </c>
      <c r="AD3" s="84" t="s">
        <v>165</v>
      </c>
      <c r="AE3" s="84" t="s">
        <v>166</v>
      </c>
      <c r="AF3" s="84" t="s">
        <v>167</v>
      </c>
      <c r="AG3" s="84" t="s">
        <v>168</v>
      </c>
      <c r="AH3" s="84" t="s">
        <v>169</v>
      </c>
      <c r="AI3" s="84" t="s">
        <v>170</v>
      </c>
      <c r="AJ3" s="84" t="s">
        <v>171</v>
      </c>
      <c r="AK3" s="84" t="s">
        <v>172</v>
      </c>
      <c r="AL3" s="84" t="s">
        <v>173</v>
      </c>
    </row>
    <row r="4" spans="1:39" ht="18" customHeight="1" x14ac:dyDescent="0.25">
      <c r="A4" s="67" t="s">
        <v>24</v>
      </c>
      <c r="B4" s="67"/>
      <c r="C4" s="63">
        <v>2500000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</row>
    <row r="5" spans="1:39" ht="18" customHeight="1" x14ac:dyDescent="0.25">
      <c r="A5" s="59" t="s">
        <v>25</v>
      </c>
      <c r="B5" s="59"/>
      <c r="C5" s="63">
        <v>80000</v>
      </c>
      <c r="D5" s="63">
        <v>100000</v>
      </c>
      <c r="E5" s="63">
        <v>120000</v>
      </c>
      <c r="F5" s="63">
        <v>50000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</row>
    <row r="6" spans="1:39" ht="18" customHeight="1" x14ac:dyDescent="0.25">
      <c r="A6" s="67" t="s">
        <v>26</v>
      </c>
      <c r="B6" s="67"/>
      <c r="C6" s="63"/>
      <c r="D6" s="63"/>
      <c r="E6" s="63"/>
      <c r="F6" s="63"/>
      <c r="G6" s="63">
        <v>150000</v>
      </c>
      <c r="H6" s="63">
        <v>250000</v>
      </c>
      <c r="I6" s="63">
        <v>380000</v>
      </c>
      <c r="J6" s="63">
        <v>420000</v>
      </c>
      <c r="K6" s="63">
        <v>350000</v>
      </c>
      <c r="L6" s="63">
        <v>200000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</row>
    <row r="7" spans="1:39" ht="18" customHeight="1" x14ac:dyDescent="0.25">
      <c r="A7" s="59" t="s">
        <v>27</v>
      </c>
      <c r="B7" s="59"/>
      <c r="C7" s="63"/>
      <c r="D7" s="63"/>
      <c r="E7" s="63"/>
      <c r="F7" s="63"/>
      <c r="G7" s="63"/>
      <c r="H7" s="63"/>
      <c r="I7" s="63">
        <v>50000</v>
      </c>
      <c r="J7" s="63">
        <v>80000</v>
      </c>
      <c r="K7" s="63">
        <v>120000</v>
      </c>
      <c r="L7" s="63">
        <v>60000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</row>
    <row r="8" spans="1:39" ht="18" customHeight="1" x14ac:dyDescent="0.25">
      <c r="A8" s="67" t="s">
        <v>28</v>
      </c>
      <c r="B8" s="67"/>
      <c r="C8" s="63"/>
      <c r="D8" s="63"/>
      <c r="E8" s="63">
        <v>50000</v>
      </c>
      <c r="F8" s="63">
        <v>80000</v>
      </c>
      <c r="G8" s="63">
        <v>50000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</row>
    <row r="9" spans="1:39" ht="18" customHeight="1" x14ac:dyDescent="0.25">
      <c r="A9" s="59" t="s">
        <v>29</v>
      </c>
      <c r="B9" s="59"/>
      <c r="C9" s="63"/>
      <c r="D9" s="63"/>
      <c r="E9" s="63"/>
      <c r="F9" s="63"/>
      <c r="G9" s="63">
        <v>50000</v>
      </c>
      <c r="H9" s="63">
        <v>80000</v>
      </c>
      <c r="I9" s="63">
        <v>80000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</row>
    <row r="10" spans="1:39" ht="18" customHeight="1" x14ac:dyDescent="0.25">
      <c r="A10" s="67" t="s">
        <v>30</v>
      </c>
      <c r="B10" s="67"/>
      <c r="C10" s="63"/>
      <c r="D10" s="63"/>
      <c r="E10" s="63"/>
      <c r="F10" s="63"/>
      <c r="G10" s="63"/>
      <c r="H10" s="63">
        <v>20000</v>
      </c>
      <c r="I10" s="63">
        <v>25000</v>
      </c>
      <c r="J10" s="63">
        <v>25000</v>
      </c>
      <c r="K10" s="63">
        <v>25000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</row>
    <row r="11" spans="1:39" ht="18" customHeight="1" x14ac:dyDescent="0.25">
      <c r="A11" s="59" t="s">
        <v>31</v>
      </c>
      <c r="B11" s="59"/>
      <c r="C11" s="63">
        <v>30000</v>
      </c>
      <c r="D11" s="63">
        <v>20000</v>
      </c>
      <c r="E11" s="63"/>
      <c r="F11" s="63"/>
      <c r="G11" s="63">
        <v>50000</v>
      </c>
      <c r="H11" s="63">
        <v>25000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</row>
    <row r="12" spans="1:39" ht="21.75" customHeight="1" x14ac:dyDescent="0.25">
      <c r="A12" s="85" t="s">
        <v>174</v>
      </c>
      <c r="B12" s="86"/>
      <c r="C12" s="38">
        <f t="shared" ref="C12:AL12" si="0">SUM(C4:C11)</f>
        <v>2610000</v>
      </c>
      <c r="D12" s="38">
        <f t="shared" si="0"/>
        <v>120000</v>
      </c>
      <c r="E12" s="38">
        <f t="shared" si="0"/>
        <v>170000</v>
      </c>
      <c r="F12" s="38">
        <f t="shared" si="0"/>
        <v>130000</v>
      </c>
      <c r="G12" s="38">
        <f t="shared" si="0"/>
        <v>300000</v>
      </c>
      <c r="H12" s="38">
        <f t="shared" si="0"/>
        <v>375000</v>
      </c>
      <c r="I12" s="38">
        <f t="shared" si="0"/>
        <v>535000</v>
      </c>
      <c r="J12" s="38">
        <f t="shared" si="0"/>
        <v>525000</v>
      </c>
      <c r="K12" s="38">
        <f t="shared" si="0"/>
        <v>495000</v>
      </c>
      <c r="L12" s="38">
        <f t="shared" si="0"/>
        <v>260000</v>
      </c>
      <c r="M12" s="38">
        <f t="shared" si="0"/>
        <v>0</v>
      </c>
      <c r="N12" s="38">
        <f t="shared" si="0"/>
        <v>0</v>
      </c>
      <c r="O12" s="38">
        <f t="shared" si="0"/>
        <v>0</v>
      </c>
      <c r="P12" s="38">
        <f t="shared" si="0"/>
        <v>0</v>
      </c>
      <c r="Q12" s="38">
        <f t="shared" si="0"/>
        <v>0</v>
      </c>
      <c r="R12" s="38">
        <f t="shared" si="0"/>
        <v>0</v>
      </c>
      <c r="S12" s="38">
        <f t="shared" si="0"/>
        <v>0</v>
      </c>
      <c r="T12" s="38">
        <f t="shared" si="0"/>
        <v>0</v>
      </c>
      <c r="U12" s="38">
        <f t="shared" si="0"/>
        <v>0</v>
      </c>
      <c r="V12" s="38">
        <f t="shared" si="0"/>
        <v>0</v>
      </c>
      <c r="W12" s="38">
        <f t="shared" si="0"/>
        <v>0</v>
      </c>
      <c r="X12" s="38">
        <f t="shared" si="0"/>
        <v>0</v>
      </c>
      <c r="Y12" s="38">
        <f t="shared" si="0"/>
        <v>0</v>
      </c>
      <c r="Z12" s="38">
        <f t="shared" si="0"/>
        <v>0</v>
      </c>
      <c r="AA12" s="38">
        <f t="shared" si="0"/>
        <v>0</v>
      </c>
      <c r="AB12" s="38">
        <f t="shared" si="0"/>
        <v>0</v>
      </c>
      <c r="AC12" s="38">
        <f t="shared" si="0"/>
        <v>0</v>
      </c>
      <c r="AD12" s="38">
        <f t="shared" si="0"/>
        <v>0</v>
      </c>
      <c r="AE12" s="38">
        <f t="shared" si="0"/>
        <v>0</v>
      </c>
      <c r="AF12" s="38">
        <f t="shared" si="0"/>
        <v>0</v>
      </c>
      <c r="AG12" s="38">
        <f t="shared" si="0"/>
        <v>0</v>
      </c>
      <c r="AH12" s="38">
        <f t="shared" si="0"/>
        <v>0</v>
      </c>
      <c r="AI12" s="38">
        <f t="shared" si="0"/>
        <v>0</v>
      </c>
      <c r="AJ12" s="38">
        <f t="shared" si="0"/>
        <v>0</v>
      </c>
      <c r="AK12" s="38">
        <f t="shared" si="0"/>
        <v>0</v>
      </c>
      <c r="AL12" s="38">
        <f t="shared" si="0"/>
        <v>0</v>
      </c>
    </row>
    <row r="13" spans="1:39" ht="21.75" customHeight="1" x14ac:dyDescent="0.25">
      <c r="A13" s="87" t="s">
        <v>175</v>
      </c>
      <c r="B13" s="88"/>
      <c r="C13" s="89">
        <f>C12</f>
        <v>2610000</v>
      </c>
      <c r="D13" s="89">
        <f t="shared" ref="D13:AL13" si="1">C13+D12</f>
        <v>2730000</v>
      </c>
      <c r="E13" s="89">
        <f t="shared" si="1"/>
        <v>2900000</v>
      </c>
      <c r="F13" s="89">
        <f t="shared" si="1"/>
        <v>3030000</v>
      </c>
      <c r="G13" s="89">
        <f t="shared" si="1"/>
        <v>3330000</v>
      </c>
      <c r="H13" s="89">
        <f t="shared" si="1"/>
        <v>3705000</v>
      </c>
      <c r="I13" s="89">
        <f t="shared" si="1"/>
        <v>4240000</v>
      </c>
      <c r="J13" s="89">
        <f t="shared" si="1"/>
        <v>4765000</v>
      </c>
      <c r="K13" s="89">
        <f t="shared" si="1"/>
        <v>5260000</v>
      </c>
      <c r="L13" s="89">
        <f t="shared" si="1"/>
        <v>5520000</v>
      </c>
      <c r="M13" s="89">
        <f t="shared" si="1"/>
        <v>5520000</v>
      </c>
      <c r="N13" s="89">
        <f t="shared" si="1"/>
        <v>5520000</v>
      </c>
      <c r="O13" s="89">
        <f t="shared" si="1"/>
        <v>5520000</v>
      </c>
      <c r="P13" s="89">
        <f t="shared" si="1"/>
        <v>5520000</v>
      </c>
      <c r="Q13" s="89">
        <f t="shared" si="1"/>
        <v>5520000</v>
      </c>
      <c r="R13" s="89">
        <f t="shared" si="1"/>
        <v>5520000</v>
      </c>
      <c r="S13" s="89">
        <f t="shared" si="1"/>
        <v>5520000</v>
      </c>
      <c r="T13" s="89">
        <f t="shared" si="1"/>
        <v>5520000</v>
      </c>
      <c r="U13" s="89">
        <f t="shared" si="1"/>
        <v>5520000</v>
      </c>
      <c r="V13" s="89">
        <f t="shared" si="1"/>
        <v>5520000</v>
      </c>
      <c r="W13" s="89">
        <f t="shared" si="1"/>
        <v>5520000</v>
      </c>
      <c r="X13" s="89">
        <f t="shared" si="1"/>
        <v>5520000</v>
      </c>
      <c r="Y13" s="89">
        <f t="shared" si="1"/>
        <v>5520000</v>
      </c>
      <c r="Z13" s="89">
        <f t="shared" si="1"/>
        <v>5520000</v>
      </c>
      <c r="AA13" s="89">
        <f t="shared" si="1"/>
        <v>5520000</v>
      </c>
      <c r="AB13" s="89">
        <f t="shared" si="1"/>
        <v>5520000</v>
      </c>
      <c r="AC13" s="89">
        <f t="shared" si="1"/>
        <v>5520000</v>
      </c>
      <c r="AD13" s="89">
        <f t="shared" si="1"/>
        <v>5520000</v>
      </c>
      <c r="AE13" s="89">
        <f t="shared" si="1"/>
        <v>5520000</v>
      </c>
      <c r="AF13" s="89">
        <f t="shared" si="1"/>
        <v>5520000</v>
      </c>
      <c r="AG13" s="89">
        <f t="shared" si="1"/>
        <v>5520000</v>
      </c>
      <c r="AH13" s="89">
        <f t="shared" si="1"/>
        <v>5520000</v>
      </c>
      <c r="AI13" s="89">
        <f t="shared" si="1"/>
        <v>5520000</v>
      </c>
      <c r="AJ13" s="89">
        <f t="shared" si="1"/>
        <v>5520000</v>
      </c>
      <c r="AK13" s="89">
        <f t="shared" si="1"/>
        <v>5520000</v>
      </c>
      <c r="AL13" s="89">
        <f t="shared" si="1"/>
        <v>5520000</v>
      </c>
    </row>
    <row r="14" spans="1:39" ht="18" customHeight="1" x14ac:dyDescent="0.25">
      <c r="A14" s="90" t="s">
        <v>176</v>
      </c>
      <c r="B14" s="91"/>
      <c r="C14" s="92" t="str">
        <f ca="1">IF(AND(YEAR(TODAY())=YEAR(EDATE(CONFIG!$C$6,1-1)),MONTH(TODAY())=MONTH(EDATE(CONFIG!$C$6,1-1))),"◀ ATUAL","")</f>
        <v/>
      </c>
      <c r="D14" s="92" t="str">
        <f ca="1">IF(AND(YEAR(TODAY())=YEAR(EDATE(CONFIG!$C$6,2-1)),MONTH(TODAY())=MONTH(EDATE(CONFIG!$C$6,2-1))),"◀ ATUAL","")</f>
        <v/>
      </c>
      <c r="E14" s="92" t="str">
        <f ca="1">IF(AND(YEAR(TODAY())=YEAR(EDATE(CONFIG!$C$6,3-1)),MONTH(TODAY())=MONTH(EDATE(CONFIG!$C$6,3-1))),"◀ ATUAL","")</f>
        <v>◀ ATUAL</v>
      </c>
      <c r="F14" s="92" t="str">
        <f ca="1">IF(AND(YEAR(TODAY())=YEAR(EDATE(CONFIG!$C$6,4-1)),MONTH(TODAY())=MONTH(EDATE(CONFIG!$C$6,4-1))),"◀ ATUAL","")</f>
        <v/>
      </c>
      <c r="G14" s="92" t="str">
        <f ca="1">IF(AND(YEAR(TODAY())=YEAR(EDATE(CONFIG!$C$6,5-1)),MONTH(TODAY())=MONTH(EDATE(CONFIG!$C$6,5-1))),"◀ ATUAL","")</f>
        <v/>
      </c>
      <c r="H14" s="92" t="str">
        <f ca="1">IF(AND(YEAR(TODAY())=YEAR(EDATE(CONFIG!$C$6,6-1)),MONTH(TODAY())=MONTH(EDATE(CONFIG!$C$6,6-1))),"◀ ATUAL","")</f>
        <v/>
      </c>
      <c r="I14" s="92" t="str">
        <f ca="1">IF(AND(YEAR(TODAY())=YEAR(EDATE(CONFIG!$C$6,7-1)),MONTH(TODAY())=MONTH(EDATE(CONFIG!$C$6,7-1))),"◀ ATUAL","")</f>
        <v/>
      </c>
      <c r="J14" s="92" t="str">
        <f ca="1">IF(AND(YEAR(TODAY())=YEAR(EDATE(CONFIG!$C$6,8-1)),MONTH(TODAY())=MONTH(EDATE(CONFIG!$C$6,8-1))),"◀ ATUAL","")</f>
        <v/>
      </c>
      <c r="K14" s="92" t="str">
        <f ca="1">IF(AND(YEAR(TODAY())=YEAR(EDATE(CONFIG!$C$6,9-1)),MONTH(TODAY())=MONTH(EDATE(CONFIG!$C$6,9-1))),"◀ ATUAL","")</f>
        <v/>
      </c>
      <c r="L14" s="92" t="str">
        <f ca="1">IF(AND(YEAR(TODAY())=YEAR(EDATE(CONFIG!$C$6,10-1)),MONTH(TODAY())=MONTH(EDATE(CONFIG!$C$6,10-1))),"◀ ATUAL","")</f>
        <v/>
      </c>
      <c r="M14" s="92" t="str">
        <f ca="1">IF(AND(YEAR(TODAY())=YEAR(EDATE(CONFIG!$C$6,11-1)),MONTH(TODAY())=MONTH(EDATE(CONFIG!$C$6,11-1))),"◀ ATUAL","")</f>
        <v/>
      </c>
      <c r="N14" s="92" t="str">
        <f ca="1">IF(AND(YEAR(TODAY())=YEAR(EDATE(CONFIG!$C$6,12-1)),MONTH(TODAY())=MONTH(EDATE(CONFIG!$C$6,12-1))),"◀ ATUAL","")</f>
        <v/>
      </c>
      <c r="O14" s="92" t="str">
        <f ca="1">IF(AND(YEAR(TODAY())=YEAR(EDATE(CONFIG!$C$6,13-1)),MONTH(TODAY())=MONTH(EDATE(CONFIG!$C$6,13-1))),"◀ ATUAL","")</f>
        <v/>
      </c>
      <c r="P14" s="92" t="str">
        <f ca="1">IF(AND(YEAR(TODAY())=YEAR(EDATE(CONFIG!$C$6,14-1)),MONTH(TODAY())=MONTH(EDATE(CONFIG!$C$6,14-1))),"◀ ATUAL","")</f>
        <v/>
      </c>
      <c r="Q14" s="92" t="str">
        <f ca="1">IF(AND(YEAR(TODAY())=YEAR(EDATE(CONFIG!$C$6,15-1)),MONTH(TODAY())=MONTH(EDATE(CONFIG!$C$6,15-1))),"◀ ATUAL","")</f>
        <v/>
      </c>
      <c r="R14" s="92" t="str">
        <f ca="1">IF(AND(YEAR(TODAY())=YEAR(EDATE(CONFIG!$C$6,16-1)),MONTH(TODAY())=MONTH(EDATE(CONFIG!$C$6,16-1))),"◀ ATUAL","")</f>
        <v/>
      </c>
      <c r="S14" s="92" t="str">
        <f ca="1">IF(AND(YEAR(TODAY())=YEAR(EDATE(CONFIG!$C$6,17-1)),MONTH(TODAY())=MONTH(EDATE(CONFIG!$C$6,17-1))),"◀ ATUAL","")</f>
        <v/>
      </c>
      <c r="T14" s="92" t="str">
        <f ca="1">IF(AND(YEAR(TODAY())=YEAR(EDATE(CONFIG!$C$6,18-1)),MONTH(TODAY())=MONTH(EDATE(CONFIG!$C$6,18-1))),"◀ ATUAL","")</f>
        <v/>
      </c>
      <c r="U14" s="92" t="str">
        <f ca="1">IF(AND(YEAR(TODAY())=YEAR(EDATE(CONFIG!$C$6,19-1)),MONTH(TODAY())=MONTH(EDATE(CONFIG!$C$6,19-1))),"◀ ATUAL","")</f>
        <v/>
      </c>
      <c r="V14" s="92" t="str">
        <f ca="1">IF(AND(YEAR(TODAY())=YEAR(EDATE(CONFIG!$C$6,20-1)),MONTH(TODAY())=MONTH(EDATE(CONFIG!$C$6,20-1))),"◀ ATUAL","")</f>
        <v/>
      </c>
      <c r="W14" s="92" t="str">
        <f ca="1">IF(AND(YEAR(TODAY())=YEAR(EDATE(CONFIG!$C$6,21-1)),MONTH(TODAY())=MONTH(EDATE(CONFIG!$C$6,21-1))),"◀ ATUAL","")</f>
        <v/>
      </c>
      <c r="X14" s="92" t="str">
        <f ca="1">IF(AND(YEAR(TODAY())=YEAR(EDATE(CONFIG!$C$6,22-1)),MONTH(TODAY())=MONTH(EDATE(CONFIG!$C$6,22-1))),"◀ ATUAL","")</f>
        <v/>
      </c>
      <c r="Y14" s="92" t="str">
        <f ca="1">IF(AND(YEAR(TODAY())=YEAR(EDATE(CONFIG!$C$6,23-1)),MONTH(TODAY())=MONTH(EDATE(CONFIG!$C$6,23-1))),"◀ ATUAL","")</f>
        <v/>
      </c>
      <c r="Z14" s="92" t="str">
        <f ca="1">IF(AND(YEAR(TODAY())=YEAR(EDATE(CONFIG!$C$6,24-1)),MONTH(TODAY())=MONTH(EDATE(CONFIG!$C$6,24-1))),"◀ ATUAL","")</f>
        <v/>
      </c>
      <c r="AA14" s="92" t="str">
        <f ca="1">IF(AND(YEAR(TODAY())=YEAR(EDATE(CONFIG!$C$6,25-1)),MONTH(TODAY())=MONTH(EDATE(CONFIG!$C$6,25-1))),"◀ ATUAL","")</f>
        <v/>
      </c>
      <c r="AB14" s="92" t="str">
        <f ca="1">IF(AND(YEAR(TODAY())=YEAR(EDATE(CONFIG!$C$6,26-1)),MONTH(TODAY())=MONTH(EDATE(CONFIG!$C$6,26-1))),"◀ ATUAL","")</f>
        <v/>
      </c>
      <c r="AC14" s="92" t="str">
        <f ca="1">IF(AND(YEAR(TODAY())=YEAR(EDATE(CONFIG!$C$6,27-1)),MONTH(TODAY())=MONTH(EDATE(CONFIG!$C$6,27-1))),"◀ ATUAL","")</f>
        <v/>
      </c>
      <c r="AD14" s="92" t="str">
        <f ca="1">IF(AND(YEAR(TODAY())=YEAR(EDATE(CONFIG!$C$6,28-1)),MONTH(TODAY())=MONTH(EDATE(CONFIG!$C$6,28-1))),"◀ ATUAL","")</f>
        <v/>
      </c>
      <c r="AE14" s="92" t="str">
        <f ca="1">IF(AND(YEAR(TODAY())=YEAR(EDATE(CONFIG!$C$6,29-1)),MONTH(TODAY())=MONTH(EDATE(CONFIG!$C$6,29-1))),"◀ ATUAL","")</f>
        <v/>
      </c>
      <c r="AF14" s="92" t="str">
        <f ca="1">IF(AND(YEAR(TODAY())=YEAR(EDATE(CONFIG!$C$6,30-1)),MONTH(TODAY())=MONTH(EDATE(CONFIG!$C$6,30-1))),"◀ ATUAL","")</f>
        <v/>
      </c>
      <c r="AG14" s="92" t="str">
        <f ca="1">IF(AND(YEAR(TODAY())=YEAR(EDATE(CONFIG!$C$6,31-1)),MONTH(TODAY())=MONTH(EDATE(CONFIG!$C$6,31-1))),"◀ ATUAL","")</f>
        <v/>
      </c>
      <c r="AH14" s="92" t="str">
        <f ca="1">IF(AND(YEAR(TODAY())=YEAR(EDATE(CONFIG!$C$6,32-1)),MONTH(TODAY())=MONTH(EDATE(CONFIG!$C$6,32-1))),"◀ ATUAL","")</f>
        <v/>
      </c>
      <c r="AI14" s="92" t="str">
        <f ca="1">IF(AND(YEAR(TODAY())=YEAR(EDATE(CONFIG!$C$6,33-1)),MONTH(TODAY())=MONTH(EDATE(CONFIG!$C$6,33-1))),"◀ ATUAL","")</f>
        <v/>
      </c>
      <c r="AJ14" s="92" t="str">
        <f ca="1">IF(AND(YEAR(TODAY())=YEAR(EDATE(CONFIG!$C$6,34-1)),MONTH(TODAY())=MONTH(EDATE(CONFIG!$C$6,34-1))),"◀ ATUAL","")</f>
        <v/>
      </c>
      <c r="AK14" s="92" t="str">
        <f ca="1">IF(AND(YEAR(TODAY())=YEAR(EDATE(CONFIG!$C$6,35-1)),MONTH(TODAY())=MONTH(EDATE(CONFIG!$C$6,35-1))),"◀ ATUAL","")</f>
        <v/>
      </c>
      <c r="AL14" s="92" t="str">
        <f ca="1">IF(AND(YEAR(TODAY())=YEAR(EDATE(CONFIG!$C$6,36-1)),MONTH(TODAY())=MONTH(EDATE(CONFIG!$C$6,36-1))),"◀ ATUAL","")</f>
        <v/>
      </c>
    </row>
  </sheetData>
  <mergeCells count="2">
    <mergeCell ref="A1:AM1"/>
    <mergeCell ref="A2:A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CONFIG</vt:lpstr>
      <vt:lpstr>RECEITAS</vt:lpstr>
      <vt:lpstr>CUSTOS</vt:lpstr>
      <vt:lpstr>CRONOGRAMA</vt:lpstr>
      <vt:lpstr>FORNECEDORES</vt:lpstr>
      <vt:lpstr>DESEMBOLSO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</cp:lastModifiedBy>
  <cp:revision>1</cp:revision>
  <dcterms:created xsi:type="dcterms:W3CDTF">2026-03-30T02:26:31Z</dcterms:created>
  <dcterms:modified xsi:type="dcterms:W3CDTF">2026-03-30T02:31:07Z</dcterms:modified>
  <dc:language>en-US</dc:language>
</cp:coreProperties>
</file>